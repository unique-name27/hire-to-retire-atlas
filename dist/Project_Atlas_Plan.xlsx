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ashboard" sheetId="2" state="visible" r:id="rId4"/>
    <sheet name="Plan" sheetId="3" state="visible" r:id="rId5"/>
    <sheet name="Milestones" sheetId="4" state="visible" r:id="rId6"/>
    <sheet name="Risks" sheetId="5" state="visible" r:id="rId7"/>
    <sheet name="Issues" sheetId="6" state="visible" r:id="rId8"/>
    <sheet name="Assumptions" sheetId="7" state="visible" r:id="rId9"/>
    <sheet name="Decisions" sheetId="8" state="visible" r:id="rId10"/>
    <sheet name="RACI" sheetId="9" state="visible" r:id="rId11"/>
    <sheet name="Approval chains" sheetId="10" state="visible" r:id="rId12"/>
    <sheet name="Country gates" sheetId="11" state="visible" r:id="rId13"/>
    <sheet name="Comms" sheetId="12" state="visible" r:id="rId14"/>
    <sheet name="Training" sheetId="13" state="visible" r:id="rId15"/>
  </sheets>
  <definedNames>
    <definedName function="false" hidden="true" localSheetId="9" name="_xlnm._FilterDatabase" vbProcedure="false">'Approval chains'!$A$1:$I$20</definedName>
    <definedName function="false" hidden="true" localSheetId="6" name="_xlnm._FilterDatabase" vbProcedure="false">Assumptions!$A$1:$D$12</definedName>
    <definedName function="false" hidden="true" localSheetId="11" name="_xlnm._FilterDatabase" vbProcedure="false">Comms!$A$1:$H$35</definedName>
    <definedName function="false" hidden="true" localSheetId="10" name="_xlnm._FilterDatabase" vbProcedure="false">'Country gates'!$A$1:$G$14</definedName>
    <definedName function="false" hidden="true" localSheetId="7" name="_xlnm._FilterDatabase" vbProcedure="false">Decisions!$A$1:$F$15</definedName>
    <definedName function="false" hidden="true" localSheetId="5" name="_xlnm._FilterDatabase" vbProcedure="false">Issues!$A$1:$H$6</definedName>
    <definedName function="false" hidden="true" localSheetId="3" name="_xlnm._FilterDatabase" vbProcedure="false">Milestones!$A$1:$F$19</definedName>
    <definedName function="false" hidden="true" localSheetId="2" name="_xlnm._FilterDatabase" vbProcedure="false">Plan!$A$1:$T$439</definedName>
    <definedName function="false" hidden="true" localSheetId="8" name="_xlnm._FilterDatabase" vbProcedure="false">RACI!$A$1:$J$21</definedName>
    <definedName function="false" hidden="true" localSheetId="4" name="_xlnm._FilterDatabase" vbProcedure="false">Risks!$A$1:$J$24</definedName>
    <definedName function="false" hidden="true" localSheetId="12" name="_xlnm._FilterDatabase" vbProcedure="false">Training!$A$1:$G$12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<sst xmlns="http://schemas.openxmlformats.org/spreadsheetml/2006/main" count="5247" uniqueCount="2065">
  <si>
    <t xml:space="preserve">Project Atlas: integrated plan workbook</t>
  </si>
  <si>
    <t xml:space="preserve">HR policy and process documentation program</t>
  </si>
  <si>
    <t xml:space="preserve">Program dates: 2026-10-12 to 2027-10-08. Sponsor: Chief People Officer (CHRO). Program manager: HR Program Manager (PMO lead). Plan version 1.0.</t>
  </si>
  <si>
    <t xml:space="preserve">Exported from the Hire-to-Retire Atlas on 2026-10-01. The Atlas is the live source of truth for status and approvals; this workbook is a snapshot for planning and reporting.</t>
  </si>
  <si>
    <t xml:space="preserve">How to use it</t>
  </si>
  <si>
    <t xml:space="preserve">1. Plan sheet: one row per item (57 policies, 97 processes, 284 legal obligations). Yellow columns are inputs: Status, Owner, Go-live override and Notes.</t>
  </si>
  <si>
    <t xml:space="preserve">2. Go live (current) uses the override when one is entered, otherwise the planned date. Overdue and Days late are formulas against today's date.</t>
  </si>
  <si>
    <t xml:space="preserve">3. Dashboard sheet: every number is a formula over the Plan sheet, so it updates as you change statuses.</t>
  </si>
  <si>
    <t xml:space="preserve">4. Status values: Not started, Drafting, In review, Approved, Live, Not applicable. Approved, Live and Not applicable count as done.</t>
  </si>
  <si>
    <t xml:space="preserve">5. Stage dates come from the plan: discover 2 weeks, draft 3, review 2, approve 2, go live 1, skipping the year-end freeze (Dec 21, 2026 to Jan 1, 2027).</t>
  </si>
  <si>
    <t xml:space="preserve">Waves</t>
  </si>
  <si>
    <t xml:space="preserve">Mobilize: 2026-10-12 to 2026-11-06. Team, charter, tooling, approval chains and a rated baseline of all 438 items.</t>
  </si>
  <si>
    <t xml:space="preserve">Wave 1: Must-haves: 2026-11-09 to 2027-02-12. The highest-risk legally required, public-company and semiconductor items in every workstream: policies first, then the programs, notices and controls that depend on them.</t>
  </si>
  <si>
    <t xml:space="preserve">Wave 2: Core lifecycle: 2027-02-15 to 2027-05-14. The next tranche of required items, with the bulk of process documentation and country addenda.</t>
  </si>
  <si>
    <t xml:space="preserve">Wave 3: Complete coverage: 2027-05-17 to 2027-08-13. The remaining required items, so every legal, public-company and semiconductor item is live.</t>
  </si>
  <si>
    <t xml:space="preserve">Wave 4: Embed and sustain: 2027-08-16 to 2027-10-08. Best-practice items, the global attestation campaign, audit readiness and handover to business-as-usual owners.</t>
  </si>
  <si>
    <t xml:space="preserve">Example row (Plan sheet)</t>
  </si>
  <si>
    <t xml:space="preserve">POL-09 Anti-Harassment · Policy · Wave 1 · Governance, Ethics and Employee Relations · go live 29 Jan 2027 · Status: Drafting · Owner: Head of Employee Relations · Notes: Current doc on ER SharePoint; Israel bylaw and India IC addendum missing.</t>
  </si>
  <si>
    <t xml:space="preserve">Dashboard</t>
  </si>
  <si>
    <t xml:space="preserve">All figures are formulas over the Plan sheet.</t>
  </si>
  <si>
    <t xml:space="preserve">Items</t>
  </si>
  <si>
    <t xml:space="preserve">Done (approved, live or not applicable)</t>
  </si>
  <si>
    <t xml:space="preserve">Percent done</t>
  </si>
  <si>
    <t xml:space="preserve">Overdue</t>
  </si>
  <si>
    <t xml:space="preserve">Due so far</t>
  </si>
  <si>
    <t xml:space="preserve">Overdue as share of due</t>
  </si>
  <si>
    <t xml:space="preserve">Calculated rating</t>
  </si>
  <si>
    <t xml:space="preserve">Rating thresholds</t>
  </si>
  <si>
    <t xml:space="preserve">Red at 15% or more of due items overdue, Amber at 5%. Set by the PMO; change here if the steering committee agrees different ones.</t>
  </si>
  <si>
    <t xml:space="preserve">By wave</t>
  </si>
  <si>
    <t xml:space="preserve">Wave</t>
  </si>
  <si>
    <t xml:space="preserve">Not started</t>
  </si>
  <si>
    <t xml:space="preserve">Drafting</t>
  </si>
  <si>
    <t xml:space="preserve">In review</t>
  </si>
  <si>
    <t xml:space="preserve">Approved</t>
  </si>
  <si>
    <t xml:space="preserve">Live</t>
  </si>
  <si>
    <t xml:space="preserve">Not applicable</t>
  </si>
  <si>
    <t xml:space="preserve">Total</t>
  </si>
  <si>
    <t xml:space="preserve">Done</t>
  </si>
  <si>
    <t xml:space="preserve">% done</t>
  </si>
  <si>
    <t xml:space="preserve">Wave 1</t>
  </si>
  <si>
    <t xml:space="preserve">Wave 2</t>
  </si>
  <si>
    <t xml:space="preserve">Wave 3</t>
  </si>
  <si>
    <t xml:space="preserve">Wave 4</t>
  </si>
  <si>
    <t xml:space="preserve">By workstream</t>
  </si>
  <si>
    <t xml:space="preserve">Workstream</t>
  </si>
  <si>
    <t xml:space="preserve">Governance, Ethics and Employee Relations</t>
  </si>
  <si>
    <t xml:space="preserve">Talent Acquisition</t>
  </si>
  <si>
    <t xml:space="preserve">HR Operations and Employee Lifecycle</t>
  </si>
  <si>
    <t xml:space="preserve">Total Rewards and Payroll</t>
  </si>
  <si>
    <t xml:space="preserve">Talent, Leave and Engagement</t>
  </si>
  <si>
    <t xml:space="preserve">HR Data, Safety and Systems</t>
  </si>
  <si>
    <t xml:space="preserve">By type</t>
  </si>
  <si>
    <t xml:space="preserve">Type</t>
  </si>
  <si>
    <t xml:space="preserve">Policy</t>
  </si>
  <si>
    <t xml:space="preserve">Process</t>
  </si>
  <si>
    <t xml:space="preserve">Filing</t>
  </si>
  <si>
    <t xml:space="preserve">Control</t>
  </si>
  <si>
    <t xml:space="preserve">Program</t>
  </si>
  <si>
    <t xml:space="preserve">Notice</t>
  </si>
  <si>
    <t xml:space="preserve">Record</t>
  </si>
  <si>
    <t xml:space="preserve">Committee</t>
  </si>
  <si>
    <t xml:space="preserve">Training</t>
  </si>
  <si>
    <t xml:space="preserve">ID</t>
  </si>
  <si>
    <t xml:space="preserve">Item</t>
  </si>
  <si>
    <t xml:space="preserve">Domain</t>
  </si>
  <si>
    <t xml:space="preserve">Tier</t>
  </si>
  <si>
    <t xml:space="preserve">Start</t>
  </si>
  <si>
    <t xml:space="preserve">Discover done</t>
  </si>
  <si>
    <t xml:space="preserve">Draft done</t>
  </si>
  <si>
    <t xml:space="preserve">Review done</t>
  </si>
  <si>
    <t xml:space="preserve">Approved by</t>
  </si>
  <si>
    <t xml:space="preserve">Go live (plan)</t>
  </si>
  <si>
    <t xml:space="preserve">Go live (override)</t>
  </si>
  <si>
    <t xml:space="preserve">Go live (current)</t>
  </si>
  <si>
    <t xml:space="preserve">Status</t>
  </si>
  <si>
    <t xml:space="preserve">Owner</t>
  </si>
  <si>
    <t xml:space="preserve">Notes</t>
  </si>
  <si>
    <t xml:space="preserve">Days late</t>
  </si>
  <si>
    <t xml:space="preserve">POL-01</t>
  </si>
  <si>
    <t xml:space="preserve">Code of Business Conduct &amp; Ethics</t>
  </si>
  <si>
    <t xml:space="preserve">Governance</t>
  </si>
  <si>
    <t xml:space="preserve">Public-company driven</t>
  </si>
  <si>
    <t xml:space="preserve">Ethics &amp; Compliance (Chief Compliance Officer); HR Employee Relations for people-related sections</t>
  </si>
  <si>
    <t xml:space="preserve">POL-02</t>
  </si>
  <si>
    <t xml:space="preserve">Speak Up &amp; Non-Retaliation</t>
  </si>
  <si>
    <t xml:space="preserve">Ethics &amp; Compliance (hotline and case management); Employee Relations for people-related investigations</t>
  </si>
  <si>
    <t xml:space="preserve">POL-03</t>
  </si>
  <si>
    <t xml:space="preserve">Conflicts of Interest &amp; Outside Activities</t>
  </si>
  <si>
    <t xml:space="preserve">Ethics &amp; Compliance (disclosure program), with Legal (related-person transactions) and HR (outside-employment approvals)</t>
  </si>
  <si>
    <t xml:space="preserve">POL-04</t>
  </si>
  <si>
    <t xml:space="preserve">Anti-Bribery &amp; Anti-Corruption (HR aspects)</t>
  </si>
  <si>
    <t xml:space="preserve">Ethics &amp; Compliance (ABAC program); Talent Acquisition and Employee Relations own the HR controls</t>
  </si>
  <si>
    <t xml:space="preserve">POL-05</t>
  </si>
  <si>
    <t xml:space="preserve">Insider Trading</t>
  </si>
  <si>
    <t xml:space="preserve">Legal (Securities) with Equity Administration (Stock Admin)</t>
  </si>
  <si>
    <t xml:space="preserve">POL-06</t>
  </si>
  <si>
    <t xml:space="preserve">Compensation Recovery (Clawback)</t>
  </si>
  <si>
    <t xml:space="preserve">Total Rewards with Legal and Finance (Controller)</t>
  </si>
  <si>
    <t xml:space="preserve">POL-08</t>
  </si>
  <si>
    <t xml:space="preserve">Equal Employment Opportunity</t>
  </si>
  <si>
    <t xml:space="preserve">Relations</t>
  </si>
  <si>
    <t xml:space="preserve">Legally required</t>
  </si>
  <si>
    <t xml:space="preserve">HR (Employee Relations) with Employment Legal; Talent Acquisition for hiring practices</t>
  </si>
  <si>
    <t xml:space="preserve">POL-09</t>
  </si>
  <si>
    <t xml:space="preserve">Anti-Harassment</t>
  </si>
  <si>
    <t xml:space="preserve">HR (Employee Relations)</t>
  </si>
  <si>
    <t xml:space="preserve">POL-16</t>
  </si>
  <si>
    <t xml:space="preserve">Recruitment &amp; Selection</t>
  </si>
  <si>
    <t xml:space="preserve">Recruit</t>
  </si>
  <si>
    <t xml:space="preserve">Talent Acquisition (Head of TA)</t>
  </si>
  <si>
    <t xml:space="preserve">POL-17</t>
  </si>
  <si>
    <t xml:space="preserve">Background Screening</t>
  </si>
  <si>
    <t xml:space="preserve">Talent Acquisition Operations with Legal (Employment and Privacy) and Security</t>
  </si>
  <si>
    <t xml:space="preserve">POL-18</t>
  </si>
  <si>
    <t xml:space="preserve">Export Control &amp; Deemed Exports (Employees)</t>
  </si>
  <si>
    <t xml:space="preserve">Semiconductor-specific</t>
  </si>
  <si>
    <t xml:space="preserve">Trade Compliance (Export Control Officer) with HR (People Ops, Talent Acquisition, Immigration) and IT/Security</t>
  </si>
  <si>
    <t xml:space="preserve">POL-19</t>
  </si>
  <si>
    <t xml:space="preserve">Immigration Sponsorship</t>
  </si>
  <si>
    <t xml:space="preserve">Immigration (Global Mobility) with Talent Acquisition and Legal</t>
  </si>
  <si>
    <t xml:space="preserve">POL-20</t>
  </si>
  <si>
    <t xml:space="preserve">Contingent Workforce &amp; Worker Classification</t>
  </si>
  <si>
    <t xml:space="preserve">People Ops (Contingent Workforce Program) with Procurement and Legal</t>
  </si>
  <si>
    <t xml:space="preserve">POL-24</t>
  </si>
  <si>
    <t xml:space="preserve">Pay Equity &amp; Pay Transparency</t>
  </si>
  <si>
    <t xml:space="preserve">Reward</t>
  </si>
  <si>
    <t xml:space="preserve">Total Rewards with Employment Legal and HR Analytics</t>
  </si>
  <si>
    <t xml:space="preserve">POL-26</t>
  </si>
  <si>
    <t xml:space="preserve">Sales Compensation Governance</t>
  </si>
  <si>
    <t xml:space="preserve">Sales Operations (plan administration) with Total Rewards (design) and Finance</t>
  </si>
  <si>
    <t xml:space="preserve">POL-27</t>
  </si>
  <si>
    <t xml:space="preserve">Equity Grant Policy</t>
  </si>
  <si>
    <t xml:space="preserve">Total Rewards (design) with Stock Admin (administration) and Legal (Securities)</t>
  </si>
  <si>
    <t xml:space="preserve">POL-28</t>
  </si>
  <si>
    <t xml:space="preserve">Payroll &amp; Wage Payment</t>
  </si>
  <si>
    <t xml:space="preserve">Global Payroll with People Ops</t>
  </si>
  <si>
    <t xml:space="preserve">POL-29</t>
  </si>
  <si>
    <t xml:space="preserve">Hours of Work, Overtime &amp; Timekeeping</t>
  </si>
  <si>
    <t xml:space="preserve">Total Rewards (classification) and Global Payroll (timekeeping and overtime pay)</t>
  </si>
  <si>
    <t xml:space="preserve">POL-30</t>
  </si>
  <si>
    <t xml:space="preserve">Expense Reimbursement &amp; Remote-Work Stipends</t>
  </si>
  <si>
    <t xml:space="preserve">Finance (Travel &amp; Expense) with Total Rewards (stipends)</t>
  </si>
  <si>
    <t xml:space="preserve">POL-31</t>
  </si>
  <si>
    <t xml:space="preserve">Sign-on, Relocation &amp; Repayment Agreements</t>
  </si>
  <si>
    <t xml:space="preserve">Total Rewards with Global Mobility and Talent Acquisition</t>
  </si>
  <si>
    <t xml:space="preserve">POL-33</t>
  </si>
  <si>
    <t xml:space="preserve">Paid Time Off &amp; Holidays</t>
  </si>
  <si>
    <t xml:space="preserve">Leave</t>
  </si>
  <si>
    <t xml:space="preserve">Total Rewards (Benefits) with People Ops (leave administration)</t>
  </si>
  <si>
    <t xml:space="preserve">POL-34</t>
  </si>
  <si>
    <t xml:space="preserve">Sick Leave</t>
  </si>
  <si>
    <t xml:space="preserve">People Ops (Leave &amp; Accommodation team)</t>
  </si>
  <si>
    <t xml:space="preserve">POL-35</t>
  </si>
  <si>
    <t xml:space="preserve">Leaves of Absence</t>
  </si>
  <si>
    <t xml:space="preserve">POL-36</t>
  </si>
  <si>
    <t xml:space="preserve">Reasonable Accommodation</t>
  </si>
  <si>
    <t xml:space="preserve">People Ops (Leave &amp; Accommodation team) with Employee Relations</t>
  </si>
  <si>
    <t xml:space="preserve">POL-37</t>
  </si>
  <si>
    <t xml:space="preserve">Benefits Eligibility</t>
  </si>
  <si>
    <t xml:space="preserve">Total Rewards (Benefits)</t>
  </si>
  <si>
    <t xml:space="preserve">POL-39</t>
  </si>
  <si>
    <t xml:space="preserve">Right to Disconnect</t>
  </si>
  <si>
    <t xml:space="preserve">Move</t>
  </si>
  <si>
    <t xml:space="preserve">HR Policy (People Ops)</t>
  </si>
  <si>
    <t xml:space="preserve">POL-41</t>
  </si>
  <si>
    <t xml:space="preserve">Travel Safety &amp; Restricted Travel</t>
  </si>
  <si>
    <t xml:space="preserve">Security (Travel Risk) with Trade Compliance</t>
  </si>
  <si>
    <t xml:space="preserve">POL-46</t>
  </si>
  <si>
    <t xml:space="preserve">Employee Privacy &amp; HR Data Protection</t>
  </si>
  <si>
    <t xml:space="preserve">Data</t>
  </si>
  <si>
    <t xml:space="preserve">Privacy Office with HR Operations (HRIS)</t>
  </si>
  <si>
    <t xml:space="preserve">POL-47</t>
  </si>
  <si>
    <t xml:space="preserve">Electronic Monitoring &amp; Acceptable Use</t>
  </si>
  <si>
    <t xml:space="preserve">Security (IT Security and Insider Risk) with the Privacy Office and HR</t>
  </si>
  <si>
    <t xml:space="preserve">POL-48</t>
  </si>
  <si>
    <t xml:space="preserve">Confidential Information, IP &amp; Inventions</t>
  </si>
  <si>
    <t xml:space="preserve">Legal (IP and Employment) with Security (Insider Risk)</t>
  </si>
  <si>
    <t xml:space="preserve">POL-49</t>
  </si>
  <si>
    <t xml:space="preserve">HR Records Retention</t>
  </si>
  <si>
    <t xml:space="preserve">HR Operations (People Ops) with Legal (Records Management)</t>
  </si>
  <si>
    <t xml:space="preserve">POL-50</t>
  </si>
  <si>
    <t xml:space="preserve">AI in Employment Decisions</t>
  </si>
  <si>
    <t xml:space="preserve">HR Technology with Legal (Employment and Privacy) and HR Analytics</t>
  </si>
  <si>
    <t xml:space="preserve">POL-51</t>
  </si>
  <si>
    <t xml:space="preserve">Health &amp; Safety</t>
  </si>
  <si>
    <t xml:space="preserve">Safety</t>
  </si>
  <si>
    <t xml:space="preserve">EHS (Environment, Health &amp; Safety)</t>
  </si>
  <si>
    <t xml:space="preserve">POL-53</t>
  </si>
  <si>
    <t xml:space="preserve">Termination of Employment</t>
  </si>
  <si>
    <t xml:space="preserve">Offboard</t>
  </si>
  <si>
    <t xml:space="preserve">Employee Relations with HR Business Partners</t>
  </si>
  <si>
    <t xml:space="preserve">POL-54</t>
  </si>
  <si>
    <t xml:space="preserve">Severance &amp; Reduction in Force</t>
  </si>
  <si>
    <t xml:space="preserve">HR (Employee Relations and Total Rewards) with Legal</t>
  </si>
  <si>
    <t xml:space="preserve">POL-55</t>
  </si>
  <si>
    <t xml:space="preserve">Return of Property &amp; Post-Employment Obligations</t>
  </si>
  <si>
    <t xml:space="preserve">HR Operations (Offboarding) with Security and Legal</t>
  </si>
  <si>
    <t xml:space="preserve">R-035</t>
  </si>
  <si>
    <t xml:space="preserve">Ontario pay equity maintenance</t>
  </si>
  <si>
    <t xml:space="preserve">Total Rewards + Legal (Canada)</t>
  </si>
  <si>
    <t xml:space="preserve">R-058</t>
  </si>
  <si>
    <t xml:space="preserve">India gratuity funding, actuarial valuation &amp; nominations</t>
  </si>
  <si>
    <t xml:space="preserve">Benefits</t>
  </si>
  <si>
    <t xml:space="preserve">Total Rewards + Finance + Payroll (India)</t>
  </si>
  <si>
    <t xml:space="preserve">R-060</t>
  </si>
  <si>
    <t xml:space="preserve">Taiwan Employee Welfare Committee &amp; welfare fund</t>
  </si>
  <si>
    <t xml:space="preserve">Taiwan HR + Finance</t>
  </si>
  <si>
    <t xml:space="preserve">R-094</t>
  </si>
  <si>
    <t xml:space="preserve">California IIPP &amp; indoor heat illness prevention plan</t>
  </si>
  <si>
    <t xml:space="preserve">EHS + Facilities (California)</t>
  </si>
  <si>
    <t xml:space="preserve">R-095</t>
  </si>
  <si>
    <t xml:space="preserve">California Workplace Violence Prevention Plan: annual review, incident log &amp; training</t>
  </si>
  <si>
    <t xml:space="preserve">EHS + Security + Employee Relations</t>
  </si>
  <si>
    <t xml:space="preserve">R-DE-05</t>
  </si>
  <si>
    <t xml:space="preserve">Germany Interessenausgleich &amp; Sozialplan</t>
  </si>
  <si>
    <t xml:space="preserve">Employee Relations + Legal + Finance (Germany)</t>
  </si>
  <si>
    <t xml:space="preserve">R-DE-20</t>
  </si>
  <si>
    <t xml:space="preserve">Germany employee invention (ArbnErfG) process</t>
  </si>
  <si>
    <t xml:space="preserve">IP Legal + Engineering + Germany HR</t>
  </si>
  <si>
    <t xml:space="preserve">R-USNC-06</t>
  </si>
  <si>
    <t xml:space="preserve">E-Verify program for NC new hires</t>
  </si>
  <si>
    <t xml:space="preserve">Onboard</t>
  </si>
  <si>
    <t xml:space="preserve">People Ops (I-9/E-Verify) + Employment Legal</t>
  </si>
  <si>
    <t xml:space="preserve">CO-02</t>
  </si>
  <si>
    <t xml:space="preserve">Annual compensation review</t>
  </si>
  <si>
    <t xml:space="preserve">Total Rewards (process), HRBP (manager enablement and calibration), FP&amp;A (budget), Payroll (load and reconciliation); Comp Committee approves officer pay and the equity pool</t>
  </si>
  <si>
    <t xml:space="preserve">CO-07</t>
  </si>
  <si>
    <t xml:space="preserve">Executive compensation cycle</t>
  </si>
  <si>
    <t xml:space="preserve">Comp Committee (decisions), Total Rewards - Executive Compensation (process), Legal - Securities/Corporate Secretary (disclosure and filings), CHRO (management accountability)</t>
  </si>
  <si>
    <t xml:space="preserve">EQ-01</t>
  </si>
  <si>
    <t xml:space="preserve">Equity grant administration</t>
  </si>
  <si>
    <t xml:space="preserve">Equity</t>
  </si>
  <si>
    <t xml:space="preserve">Stock Admin (process), Total Rewards (guidelines and requests), Legal (plan, securities and country feasibility), Finance (ASC 718), Comp Committee (approval and delegation)</t>
  </si>
  <si>
    <t xml:space="preserve">MV-02</t>
  </si>
  <si>
    <t xml:space="preserve">International assignment</t>
  </si>
  <si>
    <t xml:space="preserve">Mobility (process), Finance/Tax (tax and PE), Immigration and Trade Compliance (gates), Payroll (home, host and shadow payroll)</t>
  </si>
  <si>
    <t xml:space="preserve">OF-01</t>
  </si>
  <si>
    <t xml:space="preserve">Voluntary resignation &amp; offboarding</t>
  </si>
  <si>
    <t xml:space="preserve">HRBP (process), People Ops (execution), Security with Legal (trade-secret triage)</t>
  </si>
  <si>
    <t xml:space="preserve">OF-02</t>
  </si>
  <si>
    <t xml:space="preserve">Involuntary termination</t>
  </si>
  <si>
    <t xml:space="preserve">HRBP (process), Employee Relations (risk review and quality), Legal (approval for all non-US and high-risk US cases)</t>
  </si>
  <si>
    <t xml:space="preserve">OF-03</t>
  </si>
  <si>
    <t xml:space="preserve">Reduction in force</t>
  </si>
  <si>
    <t xml:space="preserve">CHRO (accountable), HRBP (execution), Legal (privilege, thresholds, notices), FP&amp;A/Finance (business case and restructuring accounting)</t>
  </si>
  <si>
    <t xml:space="preserve">OF-07</t>
  </si>
  <si>
    <t xml:space="preserve">Exit survey &amp; interview program</t>
  </si>
  <si>
    <t xml:space="preserve">HR Analytics (program and reporting), HRBP (interviews and actions), Employee Relations and Ethics &amp; Compliance (allegation triage)</t>
  </si>
  <si>
    <t xml:space="preserve">PL-02</t>
  </si>
  <si>
    <t xml:space="preserve">Requisition &amp; position approval</t>
  </si>
  <si>
    <t xml:space="preserve">Plan</t>
  </si>
  <si>
    <t xml:space="preserve">HRBP (process), FP&amp;A (budget control), People Ops (position management), Trade Compliance (role classification)</t>
  </si>
  <si>
    <t xml:space="preserve">POL-10</t>
  </si>
  <si>
    <t xml:space="preserve">Respectful Workplace &amp; Anti-Bullying</t>
  </si>
  <si>
    <t xml:space="preserve">HR (Employee Relations) with EHS for psychological health and safety</t>
  </si>
  <si>
    <t xml:space="preserve">POL-11</t>
  </si>
  <si>
    <t xml:space="preserve">Workplace Violence Prevention</t>
  </si>
  <si>
    <t xml:space="preserve">Security (Corporate Security) with EHS; Employee Relations for employee-related threat assessment</t>
  </si>
  <si>
    <t xml:space="preserve">POL-12</t>
  </si>
  <si>
    <t xml:space="preserve">Drug, Alcohol &amp; Substance Use</t>
  </si>
  <si>
    <t xml:space="preserve">HR (Employee Relations) with EHS</t>
  </si>
  <si>
    <t xml:space="preserve">POL-13</t>
  </si>
  <si>
    <t xml:space="preserve">Standards of Conduct &amp; Corrective Action</t>
  </si>
  <si>
    <t xml:space="preserve">POL-14</t>
  </si>
  <si>
    <t xml:space="preserve">Social Media &amp; External Communications</t>
  </si>
  <si>
    <t xml:space="preserve">Corporate Communications with Legal (Securities) and HR</t>
  </si>
  <si>
    <t xml:space="preserve">POL-15</t>
  </si>
  <si>
    <t xml:space="preserve">Human Rights &amp; Labor Standards</t>
  </si>
  <si>
    <t xml:space="preserve">Ethics &amp; Compliance / ESG with HR (own operations) and Procurement (supply chain)</t>
  </si>
  <si>
    <t xml:space="preserve">POL-21</t>
  </si>
  <si>
    <t xml:space="preserve">Probation &amp; Confirmation</t>
  </si>
  <si>
    <t xml:space="preserve">HR Business Partners (process) with People Ops (tracking)</t>
  </si>
  <si>
    <t xml:space="preserve">POL-45</t>
  </si>
  <si>
    <t xml:space="preserve">Mandatory Training &amp; Policy Acknowledgment</t>
  </si>
  <si>
    <t xml:space="preserve">Grow</t>
  </si>
  <si>
    <t xml:space="preserve">Learning &amp; Development with Ethics &amp; Compliance (policy governance)</t>
  </si>
  <si>
    <t xml:space="preserve">POL-57</t>
  </si>
  <si>
    <t xml:space="preserve">Accessibility &amp; Inclusion</t>
  </si>
  <si>
    <t xml:space="preserve">HR (Talent and Inclusion) with People Ops and Facilities</t>
  </si>
  <si>
    <t xml:space="preserve">PY-01</t>
  </si>
  <si>
    <t xml:space="preserve">Payroll cycle: change control &amp; close</t>
  </si>
  <si>
    <t xml:space="preserve">Pay</t>
  </si>
  <si>
    <t xml:space="preserve">Payroll (process and control operation), Finance/Controller (SOX control owner and GL), People Ops (HRIS input quality)</t>
  </si>
  <si>
    <t xml:space="preserve">R-003</t>
  </si>
  <si>
    <t xml:space="preserve">Background-check disclosures &amp; adverse-action notices (FCRA, ICRAA, CA Fair Chance Act)</t>
  </si>
  <si>
    <t xml:space="preserve">Talent Acquisition + Background-check vendor + Employment Legal</t>
  </si>
  <si>
    <t xml:space="preserve">R-012</t>
  </si>
  <si>
    <t xml:space="preserve">Taiwan disability employment quota</t>
  </si>
  <si>
    <t xml:space="preserve">Taiwan HR + Talent Acquisition</t>
  </si>
  <si>
    <t xml:space="preserve">R-015</t>
  </si>
  <si>
    <t xml:space="preserve">California new-hire notice pack</t>
  </si>
  <si>
    <t xml:space="preserve">People Ops (California)</t>
  </si>
  <si>
    <t xml:space="preserve">R-016</t>
  </si>
  <si>
    <t xml:space="preserve">Ontario new-hire information statement &amp; 30-day document delivery</t>
  </si>
  <si>
    <t xml:space="preserve">People Ops (Canada)</t>
  </si>
  <si>
    <t xml:space="preserve">R-020</t>
  </si>
  <si>
    <t xml:space="preserve">Annual statutory rate &amp; threshold update control</t>
  </si>
  <si>
    <t xml:space="preserve">Payroll + Total Rewards</t>
  </si>
  <si>
    <t xml:space="preserve">R-021</t>
  </si>
  <si>
    <t xml:space="preserve">Form W-2/W-3, Forms 941/940 &amp; OBBBA overtime reporting</t>
  </si>
  <si>
    <t xml:space="preserve">Payroll + Tax</t>
  </si>
  <si>
    <t xml:space="preserve">R-022</t>
  </si>
  <si>
    <t xml:space="preserve">California wage statement &amp; meal/rest premium controls</t>
  </si>
  <si>
    <t xml:space="preserve">Payroll + Timekeeping admin</t>
  </si>
  <si>
    <t xml:space="preserve">R-023</t>
  </si>
  <si>
    <t xml:space="preserve">Canada: CRA source-deduction remittances &amp; T4/T4A slips</t>
  </si>
  <si>
    <t xml:space="preserve">Payroll (Canada)</t>
  </si>
  <si>
    <t xml:space="preserve">R-024</t>
  </si>
  <si>
    <t xml:space="preserve">India salary TDS: monthly deposit, Form 138 returns &amp; Form 130 (formerly Form 16)</t>
  </si>
  <si>
    <t xml:space="preserve">Payroll (India) + Tax</t>
  </si>
  <si>
    <t xml:space="preserve">R-025</t>
  </si>
  <si>
    <t xml:space="preserve">India professional tax &amp; Labour Welfare Fund</t>
  </si>
  <si>
    <t xml:space="preserve">Payroll (India)</t>
  </si>
  <si>
    <t xml:space="preserve">R-026</t>
  </si>
  <si>
    <t xml:space="preserve">India wage payment timing, wage slips &amp; statutory bonus</t>
  </si>
  <si>
    <t xml:space="preserve">Payroll (India) + India HR Ops</t>
  </si>
  <si>
    <t xml:space="preserve">R-027</t>
  </si>
  <si>
    <t xml:space="preserve">Taiwan withholding statements &amp; NHI supplementary premium</t>
  </si>
  <si>
    <t xml:space="preserve">Payroll (Taiwan)</t>
  </si>
  <si>
    <t xml:space="preserve">R-044</t>
  </si>
  <si>
    <t xml:space="preserve">Designated-insider lists &amp; quarterly blackout notices</t>
  </si>
  <si>
    <t xml:space="preserve">Legal (Securities) + Stock Admin + HR Communications</t>
  </si>
  <si>
    <t xml:space="preserve">R-054</t>
  </si>
  <si>
    <t xml:space="preserve">Group health plan participant notices (COBRA, Part D, CHIP, WHCRA, SBC)</t>
  </si>
  <si>
    <t xml:space="preserve">Benefits + Benefits admin platform</t>
  </si>
  <si>
    <t xml:space="preserve">R-062</t>
  </si>
  <si>
    <t xml:space="preserve">FMLA notices &amp; poster</t>
  </si>
  <si>
    <t xml:space="preserve">Leave administration (Benefits) + People Ops</t>
  </si>
  <si>
    <t xml:space="preserve">R-064</t>
  </si>
  <si>
    <t xml:space="preserve">California leave notices (CFRA/PDL, victims' leave, lactation, PSL poster)</t>
  </si>
  <si>
    <t xml:space="preserve">People Ops + Leave administration (California)</t>
  </si>
  <si>
    <t xml:space="preserve">R-065</t>
  </si>
  <si>
    <t xml:space="preserve">India maternity benefit intimation &amp; creche facility</t>
  </si>
  <si>
    <t xml:space="preserve">India HR Ops + Benefits</t>
  </si>
  <si>
    <t xml:space="preserve">R-069</t>
  </si>
  <si>
    <t xml:space="preserve">AODA employment standards program (accommodation plans, RTW, emergency info, training)</t>
  </si>
  <si>
    <t xml:space="preserve">People Ops (Canada) + L&amp;D + Leave administration</t>
  </si>
  <si>
    <t xml:space="preserve">R-080</t>
  </si>
  <si>
    <t xml:space="preserve">SOX 301 complaint procedures &amp; global speak-up hotline</t>
  </si>
  <si>
    <t xml:space="preserve">Ethics &amp; Compliance + Employee Relations + Audit Committee</t>
  </si>
  <si>
    <t xml:space="preserve">R-082</t>
  </si>
  <si>
    <t xml:space="preserve">India POSH Internal Committee: constitution, display &amp; annual report</t>
  </si>
  <si>
    <t xml:space="preserve">India HR + Internal Committee + Company Secretary</t>
  </si>
  <si>
    <t xml:space="preserve">R-083</t>
  </si>
  <si>
    <t xml:space="preserve">India Grievance Redressal Committee</t>
  </si>
  <si>
    <t xml:space="preserve">India HR + Employee Relations</t>
  </si>
  <si>
    <t xml:space="preserve">R-085</t>
  </si>
  <si>
    <t xml:space="preserve">India designated equal-opportunity officers &amp; policies</t>
  </si>
  <si>
    <t xml:space="preserve">India HR + Legal</t>
  </si>
  <si>
    <t xml:space="preserve">R-087</t>
  </si>
  <si>
    <t xml:space="preserve">Taiwan labor-management meetings (quarterly)</t>
  </si>
  <si>
    <t xml:space="preserve">Taiwan HR + Works Council/Union (employee representatives)</t>
  </si>
  <si>
    <t xml:space="preserve">R-088</t>
  </si>
  <si>
    <t xml:space="preserve">Taiwan sexual-harassment &amp; workplace-bullying prevention measures</t>
  </si>
  <si>
    <t xml:space="preserve">Taiwan HR + Employee Relations</t>
  </si>
  <si>
    <t xml:space="preserve">R-091</t>
  </si>
  <si>
    <t xml:space="preserve">China anti-sexual harassment system</t>
  </si>
  <si>
    <t xml:space="preserve">China HR + Employee Relations</t>
  </si>
  <si>
    <t xml:space="preserve">R-096</t>
  </si>
  <si>
    <t xml:space="preserve">Lab chemical safety: HazCom 2024 update, Chemical Hygiene Plan &amp; radiation/laser registrations</t>
  </si>
  <si>
    <t xml:space="preserve">EHS + Lab managers + Facilities</t>
  </si>
  <si>
    <t xml:space="preserve">R-097</t>
  </si>
  <si>
    <t xml:space="preserve">Ontario OHS policy &amp; violence/harassment programs: annual review &amp; postings</t>
  </si>
  <si>
    <t xml:space="preserve">EHS + People Ops (Canada) + JHSC</t>
  </si>
  <si>
    <t xml:space="preserve">R-098</t>
  </si>
  <si>
    <t xml:space="preserve">BC OHS program, bullying &amp; harassment procedures, first aid &amp; working alone</t>
  </si>
  <si>
    <t xml:space="preserve">EHS + People Ops (Canada) + JOHSC</t>
  </si>
  <si>
    <t xml:space="preserve">R-099</t>
  </si>
  <si>
    <t xml:space="preserve">Canada joint health &amp; safety committees</t>
  </si>
  <si>
    <t xml:space="preserve">EHS + People Ops (Canada)</t>
  </si>
  <si>
    <t xml:space="preserve">R-100</t>
  </si>
  <si>
    <t xml:space="preserve">Taiwan OSH management, health services &amp; Art. 6(2) prevention plans</t>
  </si>
  <si>
    <t xml:space="preserve">EHS + Taiwan HR</t>
  </si>
  <si>
    <t xml:space="preserve">R-101</t>
  </si>
  <si>
    <t xml:space="preserve">Statutory health examinations (Taiwan, China, India)</t>
  </si>
  <si>
    <t xml:space="preserve">EHS + local HR</t>
  </si>
  <si>
    <t xml:space="preserve">R-102</t>
  </si>
  <si>
    <t xml:space="preserve">China work safety responsibility system &amp; lab hazardous chemicals</t>
  </si>
  <si>
    <t xml:space="preserve">EHS + China HR + Facilities</t>
  </si>
  <si>
    <t xml:space="preserve">R-105</t>
  </si>
  <si>
    <t xml:space="preserve">CCPA/CPRA employee &amp; applicant privacy program (notice, rights, risk assessments, ADMT)</t>
  </si>
  <si>
    <t xml:space="preserve">Privacy + HR Ops + HR Analytics</t>
  </si>
  <si>
    <t xml:space="preserve">R-108</t>
  </si>
  <si>
    <t xml:space="preserve">BC PIPA privacy officer &amp; employee information practices</t>
  </si>
  <si>
    <t xml:space="preserve">Privacy + People Ops (Canada)</t>
  </si>
  <si>
    <t xml:space="preserve">R-109</t>
  </si>
  <si>
    <t xml:space="preserve">India SPDI compliance &amp; DPDP readiness (May 13, 2027)</t>
  </si>
  <si>
    <t xml:space="preserve">Privacy + India HR + IT Security</t>
  </si>
  <si>
    <t xml:space="preserve">R-111</t>
  </si>
  <si>
    <t xml:space="preserve">Taiwan PDPA security maintenance &amp; breach notification</t>
  </si>
  <si>
    <t xml:space="preserve">Privacy + IT Security + Taiwan HR</t>
  </si>
  <si>
    <t xml:space="preserve">R-118</t>
  </si>
  <si>
    <t xml:space="preserve">Compensation committee charter, independence &amp; advisor assessment</t>
  </si>
  <si>
    <t xml:space="preserve">Total Rewards + Corporate Secretary + Legal</t>
  </si>
  <si>
    <t xml:space="preserve">R-122</t>
  </si>
  <si>
    <t xml:space="preserve">Technology Control Plan &amp; license-conditioned employee register</t>
  </si>
  <si>
    <t xml:space="preserve">Trade Compliance + IT Security + Facilities + HR Ops</t>
  </si>
  <si>
    <t xml:space="preserve">R-134</t>
  </si>
  <si>
    <t xml:space="preserve">Federal WARN &amp; state mini-WARN notices (with disclosure timing)</t>
  </si>
  <si>
    <t xml:space="preserve">Employee Relations + Employment Legal + Legal (Securities) + Immigration</t>
  </si>
  <si>
    <t xml:space="preserve">R-135</t>
  </si>
  <si>
    <t xml:space="preserve">Cal-WARN notices (SB 617 content)</t>
  </si>
  <si>
    <t xml:space="preserve">Employee Relations + Employment Legal (California)</t>
  </si>
  <si>
    <t xml:space="preserve">R-136</t>
  </si>
  <si>
    <t xml:space="preserve">OWBPA group-termination disclosures</t>
  </si>
  <si>
    <t xml:space="preserve">Employment Legal + HR Analytics + Employee Relations</t>
  </si>
  <si>
    <t xml:space="preserve">R-DE-10</t>
  </si>
  <si>
    <t xml:space="preserve">Germany BEM (occupational reintegration management)</t>
  </si>
  <si>
    <t xml:space="preserve">Germany HR + Occupational Health</t>
  </si>
  <si>
    <t xml:space="preserve">R-DE-15</t>
  </si>
  <si>
    <t xml:space="preserve">Germany occupational safety organisation &amp; risk assessment</t>
  </si>
  <si>
    <t xml:space="preserve">EHS + Germany HR + Facilities</t>
  </si>
  <si>
    <t xml:space="preserve">R-DE-18</t>
  </si>
  <si>
    <t xml:space="preserve">Germany DPO, processing records &amp; DPIAs</t>
  </si>
  <si>
    <t xml:space="preserve">Privacy + Germany HR + IT Security</t>
  </si>
  <si>
    <t xml:space="preserve">R-IL-02</t>
  </si>
  <si>
    <t xml:space="preserve">Written notice of employment terms</t>
  </si>
  <si>
    <t xml:space="preserve">HR Operations</t>
  </si>
  <si>
    <t xml:space="preserve">R-IL-03</t>
  </si>
  <si>
    <t xml:space="preserve">Mandatory pension enrolment and Section 14 arrangement</t>
  </si>
  <si>
    <t xml:space="preserve">Payroll + Benefits</t>
  </si>
  <si>
    <t xml:space="preserve">R-IL-09</t>
  </si>
  <si>
    <t xml:space="preserve">Disability representation and responsible officer</t>
  </si>
  <si>
    <t xml:space="preserve">Talent Acquisition + HR / DEI</t>
  </si>
  <si>
    <t xml:space="preserve">R-IL-15</t>
  </si>
  <si>
    <t xml:space="preserve">Occupational safety programme (plan, trustees, training)</t>
  </si>
  <si>
    <t xml:space="preserve">EHS + Site Operations</t>
  </si>
  <si>
    <t xml:space="preserve">R-USCO-06</t>
  </si>
  <si>
    <t xml:space="preserve">Workplace posters and payday notice</t>
  </si>
  <si>
    <t xml:space="preserve">People Ops + Facilities</t>
  </si>
  <si>
    <t xml:space="preserve">R-USCO-07</t>
  </si>
  <si>
    <t xml:space="preserve">HFWA paid sick leave program and notice</t>
  </si>
  <si>
    <t xml:space="preserve">Leave team + Payroll</t>
  </si>
  <si>
    <t xml:space="preserve">R-USNC-01</t>
  </si>
  <si>
    <t xml:space="preserve">Written wage notice at hire and wage-policy availability</t>
  </si>
  <si>
    <t xml:space="preserve">People Ops + Payroll</t>
  </si>
  <si>
    <t xml:space="preserve">R-USNC-02</t>
  </si>
  <si>
    <t xml:space="preserve">One-pay-period written notice of wage reductions</t>
  </si>
  <si>
    <t xml:space="preserve">Payroll + Total Rewards + HRBPs</t>
  </si>
  <si>
    <t xml:space="preserve">R-USNC-03</t>
  </si>
  <si>
    <t xml:space="preserve">Written forfeiture terms for vacation, bonuses and commissions</t>
  </si>
  <si>
    <t xml:space="preserve">Total Rewards + People Ops</t>
  </si>
  <si>
    <t xml:space="preserve">R-USTX-01</t>
  </si>
  <si>
    <t xml:space="preserve">Payday schedule &amp; posted payday notice (Texas Payday Law)</t>
  </si>
  <si>
    <t xml:space="preserve">Payroll + HR Operations</t>
  </si>
  <si>
    <t xml:space="preserve">R-USTX-04</t>
  </si>
  <si>
    <t xml:space="preserve">Written PTO, sick and severance pay policy (payout terms)</t>
  </si>
  <si>
    <t xml:space="preserve">Total Rewards + Employment Legal</t>
  </si>
  <si>
    <t xml:space="preserve">R-USWA-03</t>
  </si>
  <si>
    <t xml:space="preserve">State paid sick leave and Seattle PSST program</t>
  </si>
  <si>
    <t xml:space="preserve">Leave &amp; Absence + Payroll + HR Ops</t>
  </si>
  <si>
    <t xml:space="preserve">R-USWA-10</t>
  </si>
  <si>
    <t xml:space="preserve">Mini-WARN notices for closings and mass layoffs</t>
  </si>
  <si>
    <t xml:space="preserve">Employment Legal + HRBP + Payroll</t>
  </si>
  <si>
    <t xml:space="preserve">R-USWA-14</t>
  </si>
  <si>
    <t xml:space="preserve">I-9 inspection notices to workers</t>
  </si>
  <si>
    <t xml:space="preserve">Immigration/I-9 Compliance + Employment Legal</t>
  </si>
  <si>
    <t xml:space="preserve">R-USWA-17</t>
  </si>
  <si>
    <t xml:space="preserve">Seattle labor standards compliance</t>
  </si>
  <si>
    <t xml:space="preserve">HR Ops + Payroll + Procurement</t>
  </si>
  <si>
    <t xml:space="preserve">R-USWA-20</t>
  </si>
  <si>
    <t xml:space="preserve">Pregnancy accommodation and lactation program</t>
  </si>
  <si>
    <t xml:space="preserve">Leave &amp; Absence + Facilities</t>
  </si>
  <si>
    <t xml:space="preserve">R-VN-10</t>
  </si>
  <si>
    <t xml:space="preserve">Vietnam salary scale, payroll table &amp; bonus regulation</t>
  </si>
  <si>
    <t xml:space="preserve">Total Rewards + Vietnam HR</t>
  </si>
  <si>
    <t xml:space="preserve">TA-03</t>
  </si>
  <si>
    <t xml:space="preserve">Structured interview &amp; selection</t>
  </si>
  <si>
    <t xml:space="preserve">Talent Acquisition (process), Hiring Manager (decision), Legal (AI tool governance), HR Analytics (adverse-impact monitoring)</t>
  </si>
  <si>
    <t xml:space="preserve">TA-04</t>
  </si>
  <si>
    <t xml:space="preserve">Offer approval &amp; extension</t>
  </si>
  <si>
    <t xml:space="preserve">Talent Acquisition (process), Total Rewards (bands and equity guidelines), Legal (offer and contract templates)</t>
  </si>
  <si>
    <t xml:space="preserve">ON-01</t>
  </si>
  <si>
    <t xml:space="preserve">Preboarding (accept to Day 1)</t>
  </si>
  <si>
    <t xml:space="preserve">People Ops (process), Recruiter (candidate relationship to Day 1), Trade Compliance (export clearance gate)</t>
  </si>
  <si>
    <t xml:space="preserve">ON-04</t>
  </si>
  <si>
    <t xml:space="preserve">Day 1 to Day 90 onboarding &amp; probation</t>
  </si>
  <si>
    <t xml:space="preserve">Manager (ramp and probation recommendation), HRBP (probation decision quality), People Ops (Day 1, tracking, letters), L&amp;D (curriculum)</t>
  </si>
  <si>
    <t xml:space="preserve">R-001</t>
  </si>
  <si>
    <t xml:space="preserve">Job-posting pay-range &amp; salary-history controls (US states &amp; California)</t>
  </si>
  <si>
    <t xml:space="preserve">Talent Acquisition (Recruiting Ops) + Total Rewards</t>
  </si>
  <si>
    <t xml:space="preserve">R-002</t>
  </si>
  <si>
    <t xml:space="preserve">Canadian job-posting rules: Ontario disclosures &amp; 45-day outcome notice; BC pay range</t>
  </si>
  <si>
    <t xml:space="preserve">Talent Acquisition (Canada) + People Ops</t>
  </si>
  <si>
    <t xml:space="preserve">R-004</t>
  </si>
  <si>
    <t xml:space="preserve">Automated hiring &amp; assessment tools: bias audits, notices and ADS records</t>
  </si>
  <si>
    <t xml:space="preserve">TA Ops + HR Analytics + Employment Legal + Privacy</t>
  </si>
  <si>
    <t xml:space="preserve">R-005</t>
  </si>
  <si>
    <t xml:space="preserve">Export-control role flag &amp; nondiscriminatory U.S.-person question</t>
  </si>
  <si>
    <t xml:space="preserve">Trade Compliance + Talent Acquisition + Employment Legal</t>
  </si>
  <si>
    <t xml:space="preserve">R-013</t>
  </si>
  <si>
    <t xml:space="preserve">Form I-9 &amp; E-Verify: completion, reverification &amp; annual internal audit</t>
  </si>
  <si>
    <t xml:space="preserve">People Ops + Immigration + Employment Legal</t>
  </si>
  <si>
    <t xml:space="preserve">R-014</t>
  </si>
  <si>
    <t xml:space="preserve">State new-hire reporting, registrations &amp; hire notices</t>
  </si>
  <si>
    <t xml:space="preserve">Payroll + People Ops</t>
  </si>
  <si>
    <t xml:space="preserve">R-018</t>
  </si>
  <si>
    <t xml:space="preserve">China written labor contract within one month</t>
  </si>
  <si>
    <t xml:space="preserve">China HR + Legal</t>
  </si>
  <si>
    <t xml:space="preserve">R-019</t>
  </si>
  <si>
    <t xml:space="preserve">Confidentiality, invention assignment &amp; clean-hire certification before access</t>
  </si>
  <si>
    <t xml:space="preserve">Legal (IP/Employment) + People Ops + Security</t>
  </si>
  <si>
    <t xml:space="preserve">R-029</t>
  </si>
  <si>
    <t xml:space="preserve">China IIT monthly withholding &amp; annual reconciliation support</t>
  </si>
  <si>
    <t xml:space="preserve">Payroll (China) + Tax</t>
  </si>
  <si>
    <t xml:space="preserve">R-030</t>
  </si>
  <si>
    <t xml:space="preserve">China special working-hours system approval</t>
  </si>
  <si>
    <t xml:space="preserve">R-031</t>
  </si>
  <si>
    <t xml:space="preserve">SOX ICFR key controls: payroll &amp; incentive accruals</t>
  </si>
  <si>
    <t xml:space="preserve">Payroll + HR Ops + Finance (Controller) + Internal Audit</t>
  </si>
  <si>
    <t xml:space="preserve">R-032</t>
  </si>
  <si>
    <t xml:space="preserve">California pay data report (CRD)</t>
  </si>
  <si>
    <t xml:space="preserve">HR Analytics + Total Rewards + Employment Legal</t>
  </si>
  <si>
    <t xml:space="preserve">R-034</t>
  </si>
  <si>
    <t xml:space="preserve">BC pay transparency report (Nov 1)</t>
  </si>
  <si>
    <t xml:space="preserve">Total Rewards + HR Analytics (Canada)</t>
  </si>
  <si>
    <t xml:space="preserve">R-036</t>
  </si>
  <si>
    <t xml:space="preserve">India 50% 'wages' structure test</t>
  </si>
  <si>
    <t xml:space="preserve">Total Rewards + Payroll (India)</t>
  </si>
  <si>
    <t xml:space="preserve">R-037</t>
  </si>
  <si>
    <t xml:space="preserve">Taiwan profit bonus &amp; employee-compensation ratio</t>
  </si>
  <si>
    <t xml:space="preserve">Total Rewards + Taiwan Finance/Legal</t>
  </si>
  <si>
    <t xml:space="preserve">R-038</t>
  </si>
  <si>
    <t xml:space="preserve">Proxy CD&amp;A, executive compensation tables &amp; say-on-pay</t>
  </si>
  <si>
    <t xml:space="preserve">Total Rewards + Legal (Securities) + Corporate Secretary</t>
  </si>
  <si>
    <t xml:space="preserve">R-039</t>
  </si>
  <si>
    <t xml:space="preserve">CEO pay ratio &amp; pay versus performance</t>
  </si>
  <si>
    <t xml:space="preserve">Total Rewards + Global Payroll + Stock Admin + HR Analytics</t>
  </si>
  <si>
    <t xml:space="preserve">R-040</t>
  </si>
  <si>
    <t xml:space="preserve">Executive tax-limit monitoring: 409A specified employees, 162(m) &amp; 280G</t>
  </si>
  <si>
    <t xml:space="preserve">Total Rewards + Tax + Employment Legal</t>
  </si>
  <si>
    <t xml:space="preserve">R-041</t>
  </si>
  <si>
    <t xml:space="preserve">Export-compliance gates in sales incentive plans</t>
  </si>
  <si>
    <t xml:space="preserve">Total Rewards + Trade Compliance + Sales Ops</t>
  </si>
  <si>
    <t xml:space="preserve">R-066</t>
  </si>
  <si>
    <t xml:space="preserve">India holiday list display &amp; leave year-end processing</t>
  </si>
  <si>
    <t xml:space="preserve">India HR Ops + Payroll</t>
  </si>
  <si>
    <t xml:space="preserve">R-067</t>
  </si>
  <si>
    <t xml:space="preserve">Taiwan annual leave written statement &amp; payout</t>
  </si>
  <si>
    <t xml:space="preserve">Taiwan HR + Payroll</t>
  </si>
  <si>
    <t xml:space="preserve">R-070</t>
  </si>
  <si>
    <t xml:space="preserve">California harassment prevention training</t>
  </si>
  <si>
    <t xml:space="preserve">L&amp;D + Employee Relations</t>
  </si>
  <si>
    <t xml:space="preserve">R-071</t>
  </si>
  <si>
    <t xml:space="preserve">Multi-state harassment training (NY, IL, CT, DE, ME)</t>
  </si>
  <si>
    <t xml:space="preserve">L&amp;D + People Ops</t>
  </si>
  <si>
    <t xml:space="preserve">R-072</t>
  </si>
  <si>
    <t xml:space="preserve">India POSH awareness &amp; Internal Committee training</t>
  </si>
  <si>
    <t xml:space="preserve">India HR + L&amp;D + Internal Committee</t>
  </si>
  <si>
    <t xml:space="preserve">R-077</t>
  </si>
  <si>
    <t xml:space="preserve">Federal, state &amp; California workplace postings</t>
  </si>
  <si>
    <t xml:space="preserve">R-106</t>
  </si>
  <si>
    <t xml:space="preserve">Ontario electronic monitoring policy</t>
  </si>
  <si>
    <t xml:space="preserve">Privacy + IT Security + People Ops (Canada)</t>
  </si>
  <si>
    <t xml:space="preserve">R-127</t>
  </si>
  <si>
    <t xml:space="preserve">Conditional defense-work programs: ITAR registration &amp; facility clearance (FSO, insider threat, FOCI)</t>
  </si>
  <si>
    <t xml:space="preserve">Trade Compliance (Empowered Official) + Security (FSO) + HR Ops</t>
  </si>
  <si>
    <t xml:space="preserve">R-137</t>
  </si>
  <si>
    <t xml:space="preserve">California final pay &amp; separation notice pack</t>
  </si>
  <si>
    <t xml:space="preserve">Payroll + People Ops + Benefits (California)</t>
  </si>
  <si>
    <t xml:space="preserve">R-DE-02</t>
  </si>
  <si>
    <t xml:space="preserve">Germany works council information, consultation &amp; co-determination</t>
  </si>
  <si>
    <t xml:space="preserve">Germany HR + Employee Relations + Legal</t>
  </si>
  <si>
    <t xml:space="preserve">R-DE-06</t>
  </si>
  <si>
    <t xml:space="preserve">Germany HinSchG internal reporting office</t>
  </si>
  <si>
    <t xml:space="preserve">Ethics &amp; Compliance + Germany HR</t>
  </si>
  <si>
    <t xml:space="preserve">R-DE-09</t>
  </si>
  <si>
    <t xml:space="preserve">Germany Schwerbehindertenvertretung &amp; inclusion agreement</t>
  </si>
  <si>
    <t xml:space="preserve">Germany HR + Employee Relations</t>
  </si>
  <si>
    <t xml:space="preserve">R-IL-01</t>
  </si>
  <si>
    <t xml:space="preserve">Sexual-harassment bylaw (takanon) and commissioner</t>
  </si>
  <si>
    <t xml:space="preserve">HR / Employee Relations + Legal</t>
  </si>
  <si>
    <t xml:space="preserve">R-IL-16</t>
  </si>
  <si>
    <t xml:space="preserve">Home Front Command emergency preparedness</t>
  </si>
  <si>
    <t xml:space="preserve">Security + EHS + HR</t>
  </si>
  <si>
    <t xml:space="preserve">R-USNC-08</t>
  </si>
  <si>
    <t xml:space="preserve">Controlled substance testing compliance</t>
  </si>
  <si>
    <t xml:space="preserve">People Ops + Testing vendor + EHS</t>
  </si>
  <si>
    <t xml:space="preserve">R-USNC-11</t>
  </si>
  <si>
    <t xml:space="preserve">Safety and health program and committees (experience modifier 1.5+)</t>
  </si>
  <si>
    <t xml:space="preserve">EHS + Risk</t>
  </si>
  <si>
    <t xml:space="preserve">R-USTX-19</t>
  </si>
  <si>
    <t xml:space="preserve">Severe-weather and grid-emergency plan</t>
  </si>
  <si>
    <t xml:space="preserve">EHS + Workplace Services + HR</t>
  </si>
  <si>
    <t xml:space="preserve">R-USWA-08</t>
  </si>
  <si>
    <t xml:space="preserve">Accident Prevention Program</t>
  </si>
  <si>
    <t xml:space="preserve">EHS + Site Leads</t>
  </si>
  <si>
    <t xml:space="preserve">R-USWA-09</t>
  </si>
  <si>
    <t xml:space="preserve">Safety committee or safety meetings</t>
  </si>
  <si>
    <t xml:space="preserve">R-VN-02</t>
  </si>
  <si>
    <t xml:space="preserve">Vietnam workplace sexual harassment prevention (ILR section)</t>
  </si>
  <si>
    <t xml:space="preserve">Vietnam HR + Employee Relations</t>
  </si>
  <si>
    <t xml:space="preserve">R-VN-03</t>
  </si>
  <si>
    <t xml:space="preserve">Vietnam periodic workplace dialogue &amp; annual employee conference</t>
  </si>
  <si>
    <t xml:space="preserve">Vietnam HR + Grassroots union</t>
  </si>
  <si>
    <t xml:space="preserve">R-VN-15</t>
  </si>
  <si>
    <t xml:space="preserve">Vietnam OSH program: training, health checks, staffing &amp; accident reporting</t>
  </si>
  <si>
    <t xml:space="preserve">EHS + Vietnam HR + Facilities</t>
  </si>
  <si>
    <t xml:space="preserve">TA-06</t>
  </si>
  <si>
    <t xml:space="preserve">Export-control screening for new hires</t>
  </si>
  <si>
    <t xml:space="preserve">Trade Compliance (determinations and Technology Control Plan), Talent Acquisition (workflow), Immigration (I-129 Part 6), IT (access gating)</t>
  </si>
  <si>
    <t xml:space="preserve">DS-08</t>
  </si>
  <si>
    <t xml:space="preserve">Policy lifecycle governance</t>
  </si>
  <si>
    <t xml:space="preserve">People Ops - HR Policy &amp; Governance (process), domain policy owners (content), Legal (review), CHRO (approval)</t>
  </si>
  <si>
    <t xml:space="preserve">R-006</t>
  </si>
  <si>
    <t xml:space="preserve">Deemed-export / deemed-reexport license determination before start or access</t>
  </si>
  <si>
    <t xml:space="preserve">Trade Compliance + Immigration + IT/Security</t>
  </si>
  <si>
    <t xml:space="preserve">R-007</t>
  </si>
  <si>
    <t xml:space="preserve">Form I-129 Part 6 deemed-export certification</t>
  </si>
  <si>
    <t xml:space="preserve">Immigration + Trade Compliance</t>
  </si>
  <si>
    <t xml:space="preserve">R-008</t>
  </si>
  <si>
    <t xml:space="preserve">H-1B cap registration, LCA notice posting &amp; public access file</t>
  </si>
  <si>
    <t xml:space="preserve">Immigration + outside immigration counsel + Total Rewards (wage level)</t>
  </si>
  <si>
    <t xml:space="preserve">R-042</t>
  </si>
  <si>
    <t xml:space="preserve">Section 16 reporting: Form 4 within 2 business days (Forms 3/5, EDGAR Next)</t>
  </si>
  <si>
    <t xml:space="preserve">Legal (Securities) + Stock Admin + People Ops</t>
  </si>
  <si>
    <t xml:space="preserve">R-043</t>
  </si>
  <si>
    <t xml:space="preserve">Insider trading disclosures: 10-K Exhibit 19, Item 408(a) &amp; 408(b)</t>
  </si>
  <si>
    <t xml:space="preserve">Legal (Securities) + Stock Admin</t>
  </si>
  <si>
    <t xml:space="preserve">R-045</t>
  </si>
  <si>
    <t xml:space="preserve">Clawback policy: 10-K Exhibit 97, Item 402(w) &amp; executive acknowledgments</t>
  </si>
  <si>
    <t xml:space="preserve">Total Rewards + Legal + Finance (Controller)</t>
  </si>
  <si>
    <t xml:space="preserve">R-046</t>
  </si>
  <si>
    <t xml:space="preserve">Equity grant calendar, Item 402(x) window control &amp; Rule 16b-3 approvals</t>
  </si>
  <si>
    <t xml:space="preserve">Stock Admin + Total Rewards + Legal (Securities)</t>
  </si>
  <si>
    <t xml:space="preserve">R-047</t>
  </si>
  <si>
    <t xml:space="preserve">Equity plan shareholder approval, inducement grants &amp; Form S-8</t>
  </si>
  <si>
    <t xml:space="preserve">Total Rewards + Stock Admin + Legal (Securities)</t>
  </si>
  <si>
    <t xml:space="preserve">R-048</t>
  </si>
  <si>
    <t xml:space="preserve">Forms 3921/3922 &amp; ESPP/ISO statutory limit monitoring</t>
  </si>
  <si>
    <t xml:space="preserve">Stock Admin + Payroll + Tax</t>
  </si>
  <si>
    <t xml:space="preserve">R-049</t>
  </si>
  <si>
    <t xml:space="preserve">SOX equity controls: ASC 718 &amp; cap-table reconciliation</t>
  </si>
  <si>
    <t xml:space="preserve">Stock Admin + Finance (Controller) + Internal Audit</t>
  </si>
  <si>
    <t xml:space="preserve">R-073</t>
  </si>
  <si>
    <t xml:space="preserve">Code of conduct training, annual certification &amp; waiver control</t>
  </si>
  <si>
    <t xml:space="preserve">Ethics &amp; Compliance + L&amp;D + Legal</t>
  </si>
  <si>
    <t xml:space="preserve">R-074</t>
  </si>
  <si>
    <t xml:space="preserve">Insider trading &amp; MNPI training</t>
  </si>
  <si>
    <t xml:space="preserve">Legal (Securities) + L&amp;D + Stock Admin</t>
  </si>
  <si>
    <t xml:space="preserve">R-075</t>
  </si>
  <si>
    <t xml:space="preserve">Export-control, TCP &amp; travel-security training</t>
  </si>
  <si>
    <t xml:space="preserve">Trade Compliance + L&amp;D + Security</t>
  </si>
  <si>
    <t xml:space="preserve">R-078</t>
  </si>
  <si>
    <t xml:space="preserve">SB 294 Workplace Know Your Rights notice (Feb 1) &amp; emergency contact</t>
  </si>
  <si>
    <t xml:space="preserve">People Ops + Employee Relations (California)</t>
  </si>
  <si>
    <t xml:space="preserve">R-079</t>
  </si>
  <si>
    <t xml:space="preserve">Ontario disconnecting-from-work written policy</t>
  </si>
  <si>
    <t xml:space="preserve">People Ops (Canada) + HR Policy</t>
  </si>
  <si>
    <t xml:space="preserve">R-092</t>
  </si>
  <si>
    <t xml:space="preserve">OSHA injury logs: 300A posting &amp; ITA e-submission</t>
  </si>
  <si>
    <t xml:space="preserve">EHS + Facilities</t>
  </si>
  <si>
    <t xml:space="preserve">R-138</t>
  </si>
  <si>
    <t xml:space="preserve">Canadian group termination notices (Ontario Form 1; BC notice to Minister)</t>
  </si>
  <si>
    <t xml:space="preserve">Employee Relations + Legal (Canada)</t>
  </si>
  <si>
    <t xml:space="preserve">R-139</t>
  </si>
  <si>
    <t xml:space="preserve">Record of Employment (ROE) within 5 days</t>
  </si>
  <si>
    <t xml:space="preserve">R-140</t>
  </si>
  <si>
    <t xml:space="preserve">India retrenchment notice &amp; Worker Re-skilling Fund deposit</t>
  </si>
  <si>
    <t xml:space="preserve">Employee Relations (India) + Payroll + Legal</t>
  </si>
  <si>
    <t xml:space="preserve">R-141</t>
  </si>
  <si>
    <t xml:space="preserve">India full &amp; final settlement, gratuity &amp; service certificate</t>
  </si>
  <si>
    <t xml:space="preserve">R-DE-07</t>
  </si>
  <si>
    <t xml:space="preserve">Germany AGG complaint office &amp; postings</t>
  </si>
  <si>
    <t xml:space="preserve">Germany HR + Legal</t>
  </si>
  <si>
    <t xml:space="preserve">R-IL-13</t>
  </si>
  <si>
    <t xml:space="preserve">Employee privacy notice and monitoring policy</t>
  </si>
  <si>
    <t xml:space="preserve">Privacy Counsel + HR + IT Security</t>
  </si>
  <si>
    <t xml:space="preserve">R-IL-14</t>
  </si>
  <si>
    <t xml:space="preserve">Whistleblower rights notice and anti-retaliation</t>
  </si>
  <si>
    <t xml:space="preserve">Ethics &amp; Compliance + HR</t>
  </si>
  <si>
    <t xml:space="preserve">R-USCO-15</t>
  </si>
  <si>
    <t xml:space="preserve">ADMT notices and adverse-decision explanations (from 1 Jan 2027)</t>
  </si>
  <si>
    <t xml:space="preserve">HR Analytics + TA Ops + Employment Legal + Privacy</t>
  </si>
  <si>
    <t xml:space="preserve">R-USNC-12</t>
  </si>
  <si>
    <t xml:space="preserve">NC workplace postings</t>
  </si>
  <si>
    <t xml:space="preserve">R-USNC-19</t>
  </si>
  <si>
    <t xml:space="preserve">Firearm prohibition posting</t>
  </si>
  <si>
    <t xml:space="preserve">Security + Facilities</t>
  </si>
  <si>
    <t xml:space="preserve">ER-02</t>
  </si>
  <si>
    <t xml:space="preserve">Workplace investigation</t>
  </si>
  <si>
    <t xml:space="preserve">Employee Relations (process &amp; quality), Legal (privilege, external investigators, high-risk matters), HRBP &amp; Manager (interim measures and outcomes)</t>
  </si>
  <si>
    <t xml:space="preserve">R-009</t>
  </si>
  <si>
    <t xml:space="preserve">Foreign-national work authorization filings (Canada, India, Taiwan, China)</t>
  </si>
  <si>
    <t xml:space="preserve">Immigration/Global Mobility + local HR</t>
  </si>
  <si>
    <t xml:space="preserve">R-010</t>
  </si>
  <si>
    <t xml:space="preserve">Government-official &amp; related-person hiring screen</t>
  </si>
  <si>
    <t xml:space="preserve">Ethics &amp; Compliance + Talent Acquisition + Legal (Securities)</t>
  </si>
  <si>
    <t xml:space="preserve">R-011</t>
  </si>
  <si>
    <t xml:space="preserve">India National Career Service vacancy notification</t>
  </si>
  <si>
    <t xml:space="preserve">Talent Acquisition (India) + India HR Ops</t>
  </si>
  <si>
    <t xml:space="preserve">R-050</t>
  </si>
  <si>
    <t xml:space="preserve">SAFE Circular 7 equity plan registration &amp; quarterly filings</t>
  </si>
  <si>
    <t xml:space="preserve">Stock Admin + China HR + Finance/Treasury</t>
  </si>
  <si>
    <t xml:space="preserve">R-051</t>
  </si>
  <si>
    <t xml:space="preserve">Country equity tax &amp; exchange-control compliance (Canada, India, Taiwan, China)</t>
  </si>
  <si>
    <t xml:space="preserve">Stock Admin + Global Payroll + Tax + Legal</t>
  </si>
  <si>
    <t xml:space="preserve">R-052</t>
  </si>
  <si>
    <t xml:space="preserve">ACA Forms 1094-C/1095-C</t>
  </si>
  <si>
    <t xml:space="preserve">Benefits + Payroll + Benefits admin vendor</t>
  </si>
  <si>
    <t xml:space="preserve">R-053</t>
  </si>
  <si>
    <t xml:space="preserve">Form 5500, PCORI fee &amp; RxDC reporting</t>
  </si>
  <si>
    <t xml:space="preserve">Benefits + Finance + plan auditor/TPA</t>
  </si>
  <si>
    <t xml:space="preserve">R-056</t>
  </si>
  <si>
    <t xml:space="preserve">California benefit mandates: CalSavers, FTB coverage reporting, commuter benefit &amp; SF HCSO</t>
  </si>
  <si>
    <t xml:space="preserve">Benefits + Payroll (California)</t>
  </si>
  <si>
    <t xml:space="preserve">R-057</t>
  </si>
  <si>
    <t xml:space="preserve">India EPF &amp; ESI monthly contributions and returns</t>
  </si>
  <si>
    <t xml:space="preserve">R-059</t>
  </si>
  <si>
    <t xml:space="preserve">Taiwan day-one social insurance enrollment &amp; labor pension reporting</t>
  </si>
  <si>
    <t xml:space="preserve">R-061</t>
  </si>
  <si>
    <t xml:space="preserve">China social insurance &amp; housing fund: registration, contributions &amp; annual base adjustment</t>
  </si>
  <si>
    <t xml:space="preserve">China HR + Payroll/HR agency</t>
  </si>
  <si>
    <t xml:space="preserve">R-076</t>
  </si>
  <si>
    <t xml:space="preserve">Anti-bribery training &amp; certification</t>
  </si>
  <si>
    <t xml:space="preserve">Ethics &amp; Compliance + L&amp;D</t>
  </si>
  <si>
    <t xml:space="preserve">R-084</t>
  </si>
  <si>
    <t xml:space="preserve">India standing orders / Karnataka IT exemption conditions &amp; disciplinary reporting</t>
  </si>
  <si>
    <t xml:space="preserve">India HR + Employee Relations + Legal</t>
  </si>
  <si>
    <t xml:space="preserve">R-086</t>
  </si>
  <si>
    <t xml:space="preserve">Taiwan work rules approval &amp; posting (30+)</t>
  </si>
  <si>
    <t xml:space="preserve">Taiwan HR + Legal</t>
  </si>
  <si>
    <t xml:space="preserve">R-089</t>
  </si>
  <si>
    <t xml:space="preserve">China employee handbook adopted via democratic procedure</t>
  </si>
  <si>
    <t xml:space="preserve">China HR + Legal + Works Council/Union</t>
  </si>
  <si>
    <t xml:space="preserve">R-090</t>
  </si>
  <si>
    <t xml:space="preserve">China trade union funds (2% of payroll)</t>
  </si>
  <si>
    <t xml:space="preserve">Payroll (China) + Finance</t>
  </si>
  <si>
    <t xml:space="preserve">R-093</t>
  </si>
  <si>
    <t xml:space="preserve">Serious injury, fatality &amp; work-injury reporting (all jurisdictions)</t>
  </si>
  <si>
    <t xml:space="preserve">EHS + Leave administration + local HR</t>
  </si>
  <si>
    <t xml:space="preserve">R-103</t>
  </si>
  <si>
    <t xml:space="preserve">India OSH Code establishment registration &amp; lab factory licensing</t>
  </si>
  <si>
    <t xml:space="preserve">India HR Ops + EHS + Facilities</t>
  </si>
  <si>
    <t xml:space="preserve">R-104</t>
  </si>
  <si>
    <t xml:space="preserve">India night-shift, women's consent &amp; 24x7 notification conditions</t>
  </si>
  <si>
    <t xml:space="preserve">India HR + Facilities/Security</t>
  </si>
  <si>
    <t xml:space="preserve">R-107</t>
  </si>
  <si>
    <t xml:space="preserve">Biometric data controls (timeclocks, lab &amp; cleanroom access)</t>
  </si>
  <si>
    <t xml:space="preserve">Privacy + Security + Facilities</t>
  </si>
  <si>
    <t xml:space="preserve">R-112</t>
  </si>
  <si>
    <t xml:space="preserve">DOJ Data Security Program diligence, audit &amp; records</t>
  </si>
  <si>
    <t xml:space="preserve">Privacy/Security + Legal + HRIS + Global Payroll</t>
  </si>
  <si>
    <t xml:space="preserve">R-114</t>
  </si>
  <si>
    <t xml:space="preserve">Confidential medical, I-9 &amp; demographic data segregation</t>
  </si>
  <si>
    <t xml:space="preserve">HR Ops + HRIS + Leave administration</t>
  </si>
  <si>
    <t xml:space="preserve">R-115</t>
  </si>
  <si>
    <t xml:space="preserve">EEO-1 Component 1 report (rescission proposed)</t>
  </si>
  <si>
    <t xml:space="preserve">HR Analytics + Employment Legal</t>
  </si>
  <si>
    <t xml:space="preserve">R-116</t>
  </si>
  <si>
    <t xml:space="preserve">10-K human capital disclosure &amp; metric evidence binder</t>
  </si>
  <si>
    <t xml:space="preserve">HR Analytics + HR Leadership + Legal (Securities) + Finance (SEC Reporting)</t>
  </si>
  <si>
    <t xml:space="preserve">R-142</t>
  </si>
  <si>
    <t xml:space="preserve">Taiwan layoff notification (10 days) &amp; mass redundancy plan (60 days)</t>
  </si>
  <si>
    <t xml:space="preserve">Taiwan HR + Employee Relations + Legal</t>
  </si>
  <si>
    <t xml:space="preserve">R-144</t>
  </si>
  <si>
    <t xml:space="preserve">China economic layoff report &amp; union notification before unilateral termination</t>
  </si>
  <si>
    <t xml:space="preserve">R-146</t>
  </si>
  <si>
    <t xml:space="preserve">Post-employment non-compete decisions (China, Taiwan, Washington)</t>
  </si>
  <si>
    <t xml:space="preserve">R-147</t>
  </si>
  <si>
    <t xml:space="preserve">Sponsored-worker termination steps (H-1B, STEM OPT)</t>
  </si>
  <si>
    <t xml:space="preserve">Immigration + Employee Relations</t>
  </si>
  <si>
    <t xml:space="preserve">R-148</t>
  </si>
  <si>
    <t xml:space="preserve">Export-controlled access deprovisioning &amp; license exit reporting</t>
  </si>
  <si>
    <t xml:space="preserve">Trade Compliance + IT/Security + HR Ops</t>
  </si>
  <si>
    <t xml:space="preserve">R-DE-03</t>
  </si>
  <si>
    <t xml:space="preserve">Germany works council hearing before every dismissal</t>
  </si>
  <si>
    <t xml:space="preserve">Employee Relations (Germany) + Legal</t>
  </si>
  <si>
    <t xml:space="preserve">R-DE-04</t>
  </si>
  <si>
    <t xml:space="preserve">Germany mass-dismissal consultation &amp; Agentur für Arbeit notification</t>
  </si>
  <si>
    <t xml:space="preserve">Employee Relations + Legal (Germany)</t>
  </si>
  <si>
    <t xml:space="preserve">R-DE-11</t>
  </si>
  <si>
    <t xml:space="preserve">Germany working-time recording &amp; ArbZG limits</t>
  </si>
  <si>
    <t xml:space="preserve">Germany HR + Payroll + Managers</t>
  </si>
  <si>
    <t xml:space="preserve">R-DE-12</t>
  </si>
  <si>
    <t xml:space="preserve">Germany leave forfeiture notices</t>
  </si>
  <si>
    <t xml:space="preserve">Germany HR Ops</t>
  </si>
  <si>
    <t xml:space="preserve">R-DE-13</t>
  </si>
  <si>
    <t xml:space="preserve">Germany social insurance registration &amp; contributions</t>
  </si>
  <si>
    <t xml:space="preserve">Payroll (Germany)</t>
  </si>
  <si>
    <t xml:space="preserve">R-DE-14</t>
  </si>
  <si>
    <t xml:space="preserve">Germany wage-tax filings</t>
  </si>
  <si>
    <t xml:space="preserve">Payroll (Germany) + Tax</t>
  </si>
  <si>
    <t xml:space="preserve">R-DE-17</t>
  </si>
  <si>
    <t xml:space="preserve">Germany maternity protection notification &amp; assessment</t>
  </si>
  <si>
    <t xml:space="preserve">Germany HR + EHS</t>
  </si>
  <si>
    <t xml:space="preserve">R-IL-07</t>
  </si>
  <si>
    <t xml:space="preserve">Permit to dismiss pregnant or fertility-treatment employees</t>
  </si>
  <si>
    <t xml:space="preserve">Employment Legal + HRBP</t>
  </si>
  <si>
    <t xml:space="preserve">R-IL-18</t>
  </si>
  <si>
    <t xml:space="preserve">Foreign-expert work permits (B-1 / HIT)</t>
  </si>
  <si>
    <t xml:space="preserve">Global Mobility / Immigration</t>
  </si>
  <si>
    <t xml:space="preserve">R-USCO-09</t>
  </si>
  <si>
    <t xml:space="preserve">Pregnancy accommodation notice</t>
  </si>
  <si>
    <t xml:space="preserve">People Ops</t>
  </si>
  <si>
    <t xml:space="preserve">R-USTX-08</t>
  </si>
  <si>
    <t xml:space="preserve">Texas workplace postings</t>
  </si>
  <si>
    <t xml:space="preserve">R-USWA-05</t>
  </si>
  <si>
    <t xml:space="preserve">PFML employee notices, job protection and health continuation</t>
  </si>
  <si>
    <t xml:space="preserve">Leave &amp; Absence + Benefits</t>
  </si>
  <si>
    <t xml:space="preserve">R-USWA-11</t>
  </si>
  <si>
    <t xml:space="preserve">Noncompete compliance and void-noncompete notices</t>
  </si>
  <si>
    <t xml:space="preserve">Employment Legal + Stock Admin + HR Ops</t>
  </si>
  <si>
    <t xml:space="preserve">R-USWA-15</t>
  </si>
  <si>
    <t xml:space="preserve">WA and Seattle workplace posters</t>
  </si>
  <si>
    <t xml:space="preserve">HR Ops + Facilities</t>
  </si>
  <si>
    <t xml:space="preserve">LV-01</t>
  </si>
  <si>
    <t xml:space="preserve">Leave of absence</t>
  </si>
  <si>
    <t xml:space="preserve">Benefits - Leave &amp; Accommodation team (process), leave vendor (US administration), Payroll (pay), HRBP (job protection and reinstatement)</t>
  </si>
  <si>
    <t xml:space="preserve">LV-02</t>
  </si>
  <si>
    <t xml:space="preserve">Workplace accommodation</t>
  </si>
  <si>
    <t xml:space="preserve">Benefits - Leave &amp; Accommodation team (process), HRBP (interactive process), Legal (denials and undue hardship), EHS (lab and reproductive-hazard assessments)</t>
  </si>
  <si>
    <t xml:space="preserve">PD-02</t>
  </si>
  <si>
    <t xml:space="preserve">Performance review &amp; calibration</t>
  </si>
  <si>
    <t xml:space="preserve">HRBP (process and calibration), People Ops (cycle administration), Dept Heads (rating approval), Legal/Employee Relations (high-risk review)</t>
  </si>
  <si>
    <t xml:space="preserve">PD-03</t>
  </si>
  <si>
    <t xml:space="preserve">Performance improvement plan</t>
  </si>
  <si>
    <t xml:space="preserve">HRBP (process), Employee Relations (risk and quality), Legal (non-US and high-risk sign-off), Manager (execution)</t>
  </si>
  <si>
    <t xml:space="preserve">PD-06</t>
  </si>
  <si>
    <t xml:space="preserve">Compliance training &amp; policy attestation</t>
  </si>
  <si>
    <t xml:space="preserve">Ethics &amp; Compliance (program owner), Legal (legal cadence and content), Trade Compliance (export modules), L&amp;D and People Ops (delivery and LMS)</t>
  </si>
  <si>
    <t xml:space="preserve">R-117</t>
  </si>
  <si>
    <t xml:space="preserve">SOX HRIS, payroll &amp; equity-system access reviews and segregation of duties</t>
  </si>
  <si>
    <t xml:space="preserve">HRIS + IT + Internal Audit</t>
  </si>
  <si>
    <t xml:space="preserve">R-119</t>
  </si>
  <si>
    <t xml:space="preserve">SOX 302 HR sub-certifications &amp; Disclosure Committee workforce briefing</t>
  </si>
  <si>
    <t xml:space="preserve">CHRO + Payroll + Stock Admin + Finance (SEC Reporting)</t>
  </si>
  <si>
    <t xml:space="preserve">R-120</t>
  </si>
  <si>
    <t xml:space="preserve">Form 8-K Item 5.02 officer &amp; director change trigger</t>
  </si>
  <si>
    <t xml:space="preserve">Legal (Securities) + CHRO + Total Rewards</t>
  </si>
  <si>
    <t xml:space="preserve">R-121</t>
  </si>
  <si>
    <t xml:space="preserve">Rule 21F-17 &amp; protected-rights template review</t>
  </si>
  <si>
    <t xml:space="preserve">Employment Legal + Employee Relations + HR Ops</t>
  </si>
  <si>
    <t xml:space="preserve">R-123</t>
  </si>
  <si>
    <t xml:space="preserve">EAR 744.6 U.S.-person support review</t>
  </si>
  <si>
    <t xml:space="preserve">Trade Compliance + Employment Legal + Global Mobility</t>
  </si>
  <si>
    <t xml:space="preserve">R-124</t>
  </si>
  <si>
    <t xml:space="preserve">Restricted-party screening of HR vendors, contractors &amp; payees (Affiliates Rule returns Nov 10, 2026)</t>
  </si>
  <si>
    <t xml:space="preserve">Trade Compliance + Procurement + HR Ops</t>
  </si>
  <si>
    <t xml:space="preserve">R-125</t>
  </si>
  <si>
    <t xml:space="preserve">Outbound-investment &amp; foreign-talent-program questions in COI certification</t>
  </si>
  <si>
    <t xml:space="preserve">Legal + Ethics &amp; Compliance + Security</t>
  </si>
  <si>
    <t xml:space="preserve">R-126</t>
  </si>
  <si>
    <t xml:space="preserve">Taiwan national core key technology roster &amp; cross-strait travel approvals</t>
  </si>
  <si>
    <t xml:space="preserve">Taiwan HR + Legal (Taiwan counsel) + Security</t>
  </si>
  <si>
    <t xml:space="preserve">R-128</t>
  </si>
  <si>
    <t xml:space="preserve">RBA self-assessment, VAP audit evidence &amp; human-rights due diligence</t>
  </si>
  <si>
    <t xml:space="preserve">Supply Chain Sustainability + HR Ops + Legal/ESG</t>
  </si>
  <si>
    <t xml:space="preserve">R-129</t>
  </si>
  <si>
    <t xml:space="preserve">Recruitment-fee &amp; labor-agent due diligence (contract and dispatch labor)</t>
  </si>
  <si>
    <t xml:space="preserve">HR Ops + Supply Chain Sustainability + Procurement</t>
  </si>
  <si>
    <t xml:space="preserve">R-DE-16</t>
  </si>
  <si>
    <t xml:space="preserve">Germany accident reporting &amp; Berufsgenossenschaft annual report</t>
  </si>
  <si>
    <t xml:space="preserve">EHS + Payroll (Germany)</t>
  </si>
  <si>
    <t xml:space="preserve">R-DE-19</t>
  </si>
  <si>
    <t xml:space="preserve">EU AI Act HR controls (Germany)</t>
  </si>
  <si>
    <t xml:space="preserve">Privacy + HR Technology + Legal</t>
  </si>
  <si>
    <t xml:space="preserve">R-IL-04</t>
  </si>
  <si>
    <t xml:space="preserve">Attendance records and global-overtime reconciliation</t>
  </si>
  <si>
    <t xml:space="preserve">Payroll + HR Operations + Employment Legal</t>
  </si>
  <si>
    <t xml:space="preserve">R-IL-05</t>
  </si>
  <si>
    <t xml:space="preserve">Weekly-rest and holiday work permits</t>
  </si>
  <si>
    <t xml:space="preserve">HR Operations + Site Operations</t>
  </si>
  <si>
    <t xml:space="preserve">R-IL-08</t>
  </si>
  <si>
    <t xml:space="preserve">Annual gender pay-gap report</t>
  </si>
  <si>
    <t xml:space="preserve">Total Rewards + People Analytics + Legal</t>
  </si>
  <si>
    <t xml:space="preserve">R-IL-10</t>
  </si>
  <si>
    <t xml:space="preserve">Section 102 plan filing, trustee and ITA reporting</t>
  </si>
  <si>
    <t xml:space="preserve">Stock Administration + Tax + Israeli trustee</t>
  </si>
  <si>
    <t xml:space="preserve">R-IL-11</t>
  </si>
  <si>
    <t xml:space="preserve">Payroll tax and NII filings (Forms 101/102/106/126/161)</t>
  </si>
  <si>
    <t xml:space="preserve">Payroll</t>
  </si>
  <si>
    <t xml:space="preserve">R-IL-12</t>
  </si>
  <si>
    <t xml:space="preserve">HR database security documentation and incident reporting</t>
  </si>
  <si>
    <t xml:space="preserve">HRIS + Information Security + Privacy Counsel</t>
  </si>
  <si>
    <t xml:space="preserve">R-IL-17</t>
  </si>
  <si>
    <t xml:space="preserve">Extension-order entitlements (convalescence pay and travel)</t>
  </si>
  <si>
    <t xml:space="preserve">R-USCO-01</t>
  </si>
  <si>
    <t xml:space="preserve">EPEWA job postings, promotional-opportunity and post-selection notices</t>
  </si>
  <si>
    <t xml:space="preserve">R-USCO-03</t>
  </si>
  <si>
    <t xml:space="preserve">Initial application controls (JAFA and Chance to Compete)</t>
  </si>
  <si>
    <t xml:space="preserve">Talent Acquisition Ops + Employment Legal</t>
  </si>
  <si>
    <t xml:space="preserve">R-USCO-04</t>
  </si>
  <si>
    <t xml:space="preserve">Non-compete and non-solicit eligibility and separate notice</t>
  </si>
  <si>
    <t xml:space="preserve">Employment Legal + Total Rewards + TA</t>
  </si>
  <si>
    <t xml:space="preserve">R-USCO-05</t>
  </si>
  <si>
    <t xml:space="preserve">Annual COMPS / PAY CALC / local minimum wage refresh</t>
  </si>
  <si>
    <t xml:space="preserve">Total Rewards + Payroll + People Ops</t>
  </si>
  <si>
    <t xml:space="preserve">R-USCO-08</t>
  </si>
  <si>
    <t xml:space="preserve">FAMLI premiums, wage reports and employee notice</t>
  </si>
  <si>
    <t xml:space="preserve">Payroll + Benefits + Leave team</t>
  </si>
  <si>
    <t xml:space="preserve">R-USCO-11</t>
  </si>
  <si>
    <t xml:space="preserve">Nondisclosure provisions compliance addendum</t>
  </si>
  <si>
    <t xml:space="preserve">Employment Legal</t>
  </si>
  <si>
    <t xml:space="preserve">R-USCO-12</t>
  </si>
  <si>
    <t xml:space="preserve">Final pay and vacation payout control</t>
  </si>
  <si>
    <t xml:space="preserve">Payroll + HRBPs</t>
  </si>
  <si>
    <t xml:space="preserve">R-USCO-13</t>
  </si>
  <si>
    <t xml:space="preserve">Biometric identifier policy and consent</t>
  </si>
  <si>
    <t xml:space="preserve">Security + IT + Privacy + People Ops</t>
  </si>
  <si>
    <t xml:space="preserve">R-USCO-14</t>
  </si>
  <si>
    <t xml:space="preserve">Personal data disposal policy and 30-day breach notice</t>
  </si>
  <si>
    <t xml:space="preserve">Privacy + IT Security + People Ops</t>
  </si>
  <si>
    <t xml:space="preserve">R-USCO-17</t>
  </si>
  <si>
    <t xml:space="preserve">Colorado SecureSavings exemption certification</t>
  </si>
  <si>
    <t xml:space="preserve">R-USCO-18</t>
  </si>
  <si>
    <t xml:space="preserve">Workers' comp designated providers and first report of injury</t>
  </si>
  <si>
    <t xml:space="preserve">EHS + Leave team + Insurance</t>
  </si>
  <si>
    <t xml:space="preserve">R-USNC-04</t>
  </si>
  <si>
    <t xml:space="preserve">Wage deduction authorization control</t>
  </si>
  <si>
    <t xml:space="preserve">Payroll + Employment Legal</t>
  </si>
  <si>
    <t xml:space="preserve">R-USNC-05</t>
  </si>
  <si>
    <t xml:space="preserve">Final pay by next regular payday</t>
  </si>
  <si>
    <t xml:space="preserve">R-USNC-09</t>
  </si>
  <si>
    <t xml:space="preserve">Workers' compensation coverage and Form 19 reporting</t>
  </si>
  <si>
    <t xml:space="preserve">Benefits/Risk + EHS + Carrier</t>
  </si>
  <si>
    <t xml:space="preserve">R-USNC-13</t>
  </si>
  <si>
    <t xml:space="preserve">New-hire reporting and state withholding registration</t>
  </si>
  <si>
    <t xml:space="preserve">R-USNC-14</t>
  </si>
  <si>
    <t xml:space="preserve">NC withholding returns and annual reconciliation</t>
  </si>
  <si>
    <t xml:space="preserve">Payroll Tax</t>
  </si>
  <si>
    <t xml:space="preserve">R-USNC-15</t>
  </si>
  <si>
    <t xml:space="preserve">DES quarterly unemployment reports</t>
  </si>
  <si>
    <t xml:space="preserve">Payroll Tax + People Ops</t>
  </si>
  <si>
    <t xml:space="preserve">R-USNC-17</t>
  </si>
  <si>
    <t xml:space="preserve">Expunged-record and lawful-products screening control</t>
  </si>
  <si>
    <t xml:space="preserve">Talent Acquisition + Background-check vendor</t>
  </si>
  <si>
    <t xml:space="preserve">R-USNC-18</t>
  </si>
  <si>
    <t xml:space="preserve">Restrictive covenant execution and NC forum control</t>
  </si>
  <si>
    <t xml:space="preserve">Employment Legal + Talent Acquisition</t>
  </si>
  <si>
    <t xml:space="preserve">R-USTX-02</t>
  </si>
  <si>
    <t xml:space="preserve">Final-pay deadline control (6 days on discharge)</t>
  </si>
  <si>
    <t xml:space="preserve">R-USTX-09</t>
  </si>
  <si>
    <t xml:space="preserve">New-hire reporting to the OAG</t>
  </si>
  <si>
    <t xml:space="preserve">HR Operations / Payroll vendor</t>
  </si>
  <si>
    <t xml:space="preserve">R-USTX-10</t>
  </si>
  <si>
    <t xml:space="preserve">Child support income withholding and termination notice</t>
  </si>
  <si>
    <t xml:space="preserve">R-USWA-01</t>
  </si>
  <si>
    <t xml:space="preserve">Job-posting pay range, benefits description and salary-history controls (EPOA)</t>
  </si>
  <si>
    <t xml:space="preserve">Talent Acquisition Ops + Total Rewards + Employment Legal</t>
  </si>
  <si>
    <t xml:space="preserve">R-USWA-12</t>
  </si>
  <si>
    <t xml:space="preserve">Fair chance background-check control</t>
  </si>
  <si>
    <t xml:space="preserve">R-VN-16</t>
  </si>
  <si>
    <t xml:space="preserve">Vietnam annual leave schedule &amp; holiday calendar</t>
  </si>
  <si>
    <t xml:space="preserve">Vietnam HR Ops</t>
  </si>
  <si>
    <t xml:space="preserve">MV-01</t>
  </si>
  <si>
    <t xml:space="preserve">Internal transfer &amp; job change</t>
  </si>
  <si>
    <t xml:space="preserve">HRBP (process), receiving Manager (selection), People Ops (transaction)</t>
  </si>
  <si>
    <t xml:space="preserve">PL-01</t>
  </si>
  <si>
    <t xml:space="preserve">Annual workforce &amp; headcount plan</t>
  </si>
  <si>
    <t xml:space="preserve">FP&amp;A (budget and model), HRBPs (workforce content), CHRO (sign-off with CFO)</t>
  </si>
  <si>
    <t xml:space="preserve">PL-03</t>
  </si>
  <si>
    <t xml:space="preserve">Job architecture &amp; leveling</t>
  </si>
  <si>
    <t xml:space="preserve">Total Rewards (architecture owner), HRBPs (application), HR Analytics (data), Legal (classification)</t>
  </si>
  <si>
    <t xml:space="preserve">R-063</t>
  </si>
  <si>
    <t xml:space="preserve">State paid family/medical leave &amp; sick-leave registrations and notices</t>
  </si>
  <si>
    <t xml:space="preserve">Payroll + Leave administration</t>
  </si>
  <si>
    <t xml:space="preserve">R-068</t>
  </si>
  <si>
    <t xml:space="preserve">China untaken annual leave settlement</t>
  </si>
  <si>
    <t xml:space="preserve">China HR + Payroll</t>
  </si>
  <si>
    <t xml:space="preserve">R-130</t>
  </si>
  <si>
    <t xml:space="preserve">Canada forced &amp; child labour supply-chain report (May 31)</t>
  </si>
  <si>
    <t xml:space="preserve">Legal (Canada) + Supply Chain Compliance + HR</t>
  </si>
  <si>
    <t xml:space="preserve">R-131</t>
  </si>
  <si>
    <t xml:space="preserve">Federal contractor &amp; DEI compliance (AAPs, VETS-4212, EO 14173 certification, statement review)</t>
  </si>
  <si>
    <t xml:space="preserve">Employment Legal + HR Analytics + Talent Acquisition</t>
  </si>
  <si>
    <t xml:space="preserve">R-132</t>
  </si>
  <si>
    <t xml:space="preserve">AODA accessibility compliance report</t>
  </si>
  <si>
    <t xml:space="preserve">People Ops (Canada) + Legal + Web/IT</t>
  </si>
  <si>
    <t xml:space="preserve">R-133</t>
  </si>
  <si>
    <t xml:space="preserve">India annual labour returns &amp; electronic statutory registers</t>
  </si>
  <si>
    <t xml:space="preserve">R-DE-08</t>
  </si>
  <si>
    <t xml:space="preserve">Germany severely disabled employment report &amp; Ausgleichsabgabe</t>
  </si>
  <si>
    <t xml:space="preserve">Germany HR Ops + Payroll</t>
  </si>
  <si>
    <t xml:space="preserve">R-IL-06</t>
  </si>
  <si>
    <t xml:space="preserve">Reservist protection tracker and NII reimbursement</t>
  </si>
  <si>
    <t xml:space="preserve">HR Operations + Payroll + Employment Legal</t>
  </si>
  <si>
    <t xml:space="preserve">R-USNC-16</t>
  </si>
  <si>
    <t xml:space="preserve">Personal information breach notification and SSN controls</t>
  </si>
  <si>
    <t xml:space="preserve">Privacy Office + Security + HR Ops</t>
  </si>
  <si>
    <t xml:space="preserve">R-USTX-05</t>
  </si>
  <si>
    <t xml:space="preserve">Workers' comp coverage notices &amp; non-subscriber DWC Form-005</t>
  </si>
  <si>
    <t xml:space="preserve">Risk Management + HR Operations</t>
  </si>
  <si>
    <t xml:space="preserve">R-USTX-06</t>
  </si>
  <si>
    <t xml:space="preserve">Workplace injury reports to carrier or TDI-DWC</t>
  </si>
  <si>
    <t xml:space="preserve">EHS + Risk Management</t>
  </si>
  <si>
    <t xml:space="preserve">R-USTX-11</t>
  </si>
  <si>
    <t xml:space="preserve">TWC unemployment tax reports and claim responses</t>
  </si>
  <si>
    <t xml:space="preserve">R-USTX-12</t>
  </si>
  <si>
    <t xml:space="preserve">Biometric notice, consent and destruction (CUBI)</t>
  </si>
  <si>
    <t xml:space="preserve">Security + Privacy + HR Operations</t>
  </si>
  <si>
    <t xml:space="preserve">R-USTX-14</t>
  </si>
  <si>
    <t xml:space="preserve">Data breach notification (60 days / AG 30 days)</t>
  </si>
  <si>
    <t xml:space="preserve">Privacy + Security + Legal</t>
  </si>
  <si>
    <t xml:space="preserve">R-USWA-02</t>
  </si>
  <si>
    <t xml:space="preserve">Exempt salary floor and computer-professional rate review</t>
  </si>
  <si>
    <t xml:space="preserve">Total Rewards + Payroll + Employment Legal</t>
  </si>
  <si>
    <t xml:space="preserve">R-USWA-04</t>
  </si>
  <si>
    <t xml:space="preserve">PFML premiums and quarterly ESD reports</t>
  </si>
  <si>
    <t xml:space="preserve">R-USWA-06</t>
  </si>
  <si>
    <t xml:space="preserve">WA Cares premium and exemption control</t>
  </si>
  <si>
    <t xml:space="preserve">Payroll + Global Mobility/Immigration</t>
  </si>
  <si>
    <t xml:space="preserve">R-USWA-16</t>
  </si>
  <si>
    <t xml:space="preserve">Seattle payroll expense tax and Social Housing Tax filings</t>
  </si>
  <si>
    <t xml:space="preserve">Tax + Payroll + Stock Admin</t>
  </si>
  <si>
    <t xml:space="preserve">R-VN-05</t>
  </si>
  <si>
    <t xml:space="preserve">Vietnam SI, HI &amp; UI registration and monthly contributions</t>
  </si>
  <si>
    <t xml:space="preserve">Payroll (Vietnam) + Vietnam HR Ops</t>
  </si>
  <si>
    <t xml:space="preserve">R-VN-08</t>
  </si>
  <si>
    <t xml:space="preserve">Vietnam work permits &amp; exemption notifications</t>
  </si>
  <si>
    <t xml:space="preserve">Immigration + Vietnam HR</t>
  </si>
  <si>
    <t xml:space="preserve">R-VN-11</t>
  </si>
  <si>
    <t xml:space="preserve">Vietnam labour-use plan &amp; 30-day restructuring notice</t>
  </si>
  <si>
    <t xml:space="preserve">Vietnam HR + Legal + Employee Relations</t>
  </si>
  <si>
    <t xml:space="preserve">R-VN-12</t>
  </si>
  <si>
    <t xml:space="preserve">Vietnam final settlement within 14 working days &amp; SI closure</t>
  </si>
  <si>
    <t xml:space="preserve">R-VN-18</t>
  </si>
  <si>
    <t xml:space="preserve">Vietnam labour contract form, term tracking &amp; e-contract upload</t>
  </si>
  <si>
    <t xml:space="preserve">BN-01</t>
  </si>
  <si>
    <t xml:space="preserve">New-hire benefits enrollment</t>
  </si>
  <si>
    <t xml:space="preserve">Benefits (process), Total Rewards (plan design), Payroll (deductions and statutory remittances)</t>
  </si>
  <si>
    <t xml:space="preserve">BN-02</t>
  </si>
  <si>
    <t xml:space="preserve">Annual open enrollment</t>
  </si>
  <si>
    <t xml:space="preserve">Benefits (process), Total Rewards (plan design and contributions), Payroll (deduction cut-over)</t>
  </si>
  <si>
    <t xml:space="preserve">BN-03</t>
  </si>
  <si>
    <t xml:space="preserve">Qualifying life events</t>
  </si>
  <si>
    <t xml:space="preserve">Benefits (process), benefits administration vendor (US processing), People Ops (non-US dependant and nomination records)</t>
  </si>
  <si>
    <t xml:space="preserve">MV-03</t>
  </si>
  <si>
    <t xml:space="preserve">Permanent cross-border transfer</t>
  </si>
  <si>
    <t xml:space="preserve">Mobility (process), Legal (structure and documents), Stock Admin (equity continuity), Payroll (home exit and host set-up)</t>
  </si>
  <si>
    <t xml:space="preserve">MV-04</t>
  </si>
  <si>
    <t xml:space="preserve">Remote work &amp; work-location change</t>
  </si>
  <si>
    <t xml:space="preserve">HRBP (approval process), Payroll (registration), Trade Compliance and IT/Security (location controls)</t>
  </si>
  <si>
    <t xml:space="preserve">MV-05</t>
  </si>
  <si>
    <t xml:space="preserve">Status &amp; classification change</t>
  </si>
  <si>
    <t xml:space="preserve">Total Rewards (classification analysis), Legal (sign-off and remediation), People Ops and Payroll (implementation)</t>
  </si>
  <si>
    <t xml:space="preserve">PL-04</t>
  </si>
  <si>
    <t xml:space="preserve">Organization design change</t>
  </si>
  <si>
    <t xml:space="preserve">HRBP (process), Dept Head (design), Legal and Employee Relations (consultation and risk)</t>
  </si>
  <si>
    <t xml:space="preserve">PL-05</t>
  </si>
  <si>
    <t xml:space="preserve">Contingent workforce engagement</t>
  </si>
  <si>
    <t xml:space="preserve">People Ops (process and contingent register), Legal (classification), Trade Compliance (screening and technology access)</t>
  </si>
  <si>
    <t xml:space="preserve">R-IL-20</t>
  </si>
  <si>
    <t xml:space="preserve">Union-organizing neutrality protocol</t>
  </si>
  <si>
    <t xml:space="preserve">Employment Legal + HR Leadership</t>
  </si>
  <si>
    <t xml:space="preserve">R-USCO-16</t>
  </si>
  <si>
    <t xml:space="preserve">State EEO-1 demographic filing (from 2027)</t>
  </si>
  <si>
    <t xml:space="preserve">R-USNC-07</t>
  </si>
  <si>
    <t xml:space="preserve">REDA retaliation pre-action review</t>
  </si>
  <si>
    <t xml:space="preserve">Employment Legal + HRBPs</t>
  </si>
  <si>
    <t xml:space="preserve">R-USTX-15</t>
  </si>
  <si>
    <t xml:space="preserve">Firearms-in-parking-lot and weapons policy control</t>
  </si>
  <si>
    <t xml:space="preserve">Security + Employment Legal</t>
  </si>
  <si>
    <t xml:space="preserve">R-USTX-16</t>
  </si>
  <si>
    <t xml:space="preserve">Sexual-harassment complaint response standard (1+ employees)</t>
  </si>
  <si>
    <t xml:space="preserve">Employee Relations + Employment Legal</t>
  </si>
  <si>
    <t xml:space="preserve">R-USTX-17</t>
  </si>
  <si>
    <t xml:space="preserve">Jury, voting, state military and evacuation leave control</t>
  </si>
  <si>
    <t xml:space="preserve">HR Operations + Leave team</t>
  </si>
  <si>
    <t xml:space="preserve">R-USWA-07</t>
  </si>
  <si>
    <t xml:space="preserve">L&amp;I workers' comp account and quarterly hours report</t>
  </si>
  <si>
    <t xml:space="preserve">Payroll + EHS + Risk Management</t>
  </si>
  <si>
    <t xml:space="preserve">R-VN-07</t>
  </si>
  <si>
    <t xml:space="preserve">Vietnam PIT withholding, returns &amp; annual finalization</t>
  </si>
  <si>
    <t xml:space="preserve">Payroll (Vietnam) + Tax</t>
  </si>
  <si>
    <t xml:space="preserve">R-VN-09</t>
  </si>
  <si>
    <t xml:space="preserve">Vietnam overtime consent, caps &amp; 300-hour notification</t>
  </si>
  <si>
    <t xml:space="preserve">Vietnam HR + Payroll + Engineering managers</t>
  </si>
  <si>
    <t xml:space="preserve">R-VN-13</t>
  </si>
  <si>
    <t xml:space="preserve">Vietnam PDPL impact assessments (DPIA &amp; TIA) with the Ministry of Public Security</t>
  </si>
  <si>
    <t xml:space="preserve">Privacy + Vietnam HR + Legal</t>
  </si>
  <si>
    <t xml:space="preserve">R-VN-19</t>
  </si>
  <si>
    <t xml:space="preserve">Vietnam task-completion criteria regulation</t>
  </si>
  <si>
    <t xml:space="preserve">BN-04</t>
  </si>
  <si>
    <t xml:space="preserve">Retirement plan governance</t>
  </si>
  <si>
    <t xml:space="preserve">Retirement plan committee (fiduciary, chaired by the CFO), Total Rewards (plan sponsor administration), Benefits (non-US plans)</t>
  </si>
  <si>
    <t xml:space="preserve">BN-05</t>
  </si>
  <si>
    <t xml:space="preserve">Global benefits renewal &amp; vendor management</t>
  </si>
  <si>
    <t xml:space="preserve">Benefits (process), Total Rewards (strategy and decision), Legal and Security (contract and data terms), Finance (budget)</t>
  </si>
  <si>
    <t xml:space="preserve">BN-06</t>
  </si>
  <si>
    <t xml:space="preserve">Benefits continuation (COBRA)</t>
  </si>
  <si>
    <t xml:space="preserve">Benefits (process), COBRA administrator (notices and administration), Payroll (subsidy funding), People Ops (event data)</t>
  </si>
  <si>
    <t xml:space="preserve">CO-01</t>
  </si>
  <si>
    <t xml:space="preserve">Salary structures &amp; market pricing</t>
  </si>
  <si>
    <t xml:space="preserve">Total Rewards (process and ranges), HR Analytics (survey data), Legal (pay-transparency and antitrust review)</t>
  </si>
  <si>
    <t xml:space="preserve">CO-03</t>
  </si>
  <si>
    <t xml:space="preserve">Annual bonus / variable pay</t>
  </si>
  <si>
    <t xml:space="preserve">Total Rewards (design and calculation), Finance (accrual and funding certification), Comp Committee (plan approval and officer payouts)</t>
  </si>
  <si>
    <t xml:space="preserve">CO-04</t>
  </si>
  <si>
    <t xml:space="preserve">Sales incentive compensation</t>
  </si>
  <si>
    <t xml:space="preserve">Total Rewards - Sales Compensation (design and administration), Sales leadership (quotas), Finance (calculation review and accounting), Trade Compliance (order gate)</t>
  </si>
  <si>
    <t xml:space="preserve">CO-05</t>
  </si>
  <si>
    <t xml:space="preserve">Off-cycle adjustments &amp; counteroffers</t>
  </si>
  <si>
    <t xml:space="preserve">HRBP (process and flight-risk judgement), Total Rewards (pricing), Dept Head and CHRO (approval authority)</t>
  </si>
  <si>
    <t xml:space="preserve">CO-06</t>
  </si>
  <si>
    <t xml:space="preserve">Pay equity audit &amp; remediation</t>
  </si>
  <si>
    <t xml:space="preserve">Legal (privilege, scope and advice), HR Analytics (analysis), Total Rewards (remediation), CHRO (budget approval)</t>
  </si>
  <si>
    <t xml:space="preserve">DS-01</t>
  </si>
  <si>
    <t xml:space="preserve">Employee data changes &amp; data quality</t>
  </si>
  <si>
    <t xml:space="preserve">People Ops (HRIS data steward), Payroll (payroll data), HR Analytics (data-quality reporting)</t>
  </si>
  <si>
    <t xml:space="preserve">DS-02</t>
  </si>
  <si>
    <t xml:space="preserve">HR data subject requests</t>
  </si>
  <si>
    <t xml:space="preserve">People Ops (HR privacy desk), Legal / Privacy (exemptions &amp; review)</t>
  </si>
  <si>
    <t xml:space="preserve">DS-03</t>
  </si>
  <si>
    <t xml:space="preserve">Records retention &amp; destruction</t>
  </si>
  <si>
    <t xml:space="preserve">People Ops (schedule owner), Legal (legal review &amp; holds), IT (system purges)</t>
  </si>
  <si>
    <t xml:space="preserve">DS-04</t>
  </si>
  <si>
    <t xml:space="preserve">HRIS access &amp; segregation of duties</t>
  </si>
  <si>
    <t xml:space="preserve">People Ops (HRIS role owner), IT (identity &amp; access), Payroll (payroll-system roles), Finance / Internal Audit (SOX testing)</t>
  </si>
  <si>
    <t xml:space="preserve">DS-05</t>
  </si>
  <si>
    <t xml:space="preserve">Human capital reporting &amp; disclosure</t>
  </si>
  <si>
    <t xml:space="preserve">HR Analytics (metrics &amp; lineage), CHRO (sub-certification), Legal (Securities) and Finance (SEC Reporting) (disclosure)</t>
  </si>
  <si>
    <t xml:space="preserve">EN-01</t>
  </si>
  <si>
    <t xml:space="preserve">Engagement survey &amp; action planning</t>
  </si>
  <si>
    <t xml:space="preserve">Engage</t>
  </si>
  <si>
    <t xml:space="preserve">HR Analytics (program), HRBPs (action planning), Legal (privacy and labor review)</t>
  </si>
  <si>
    <t xml:space="preserve">EN-02</t>
  </si>
  <si>
    <t xml:space="preserve">Recognition &amp; service awards</t>
  </si>
  <si>
    <t xml:space="preserve">People Ops (program administration), Total Rewards (design and budget), Payroll (tax), Ethics &amp; Compliance (anti-bribery guardrails)</t>
  </si>
  <si>
    <t xml:space="preserve">EN-03</t>
  </si>
  <si>
    <t xml:space="preserve">Stay interviews &amp; listening</t>
  </si>
  <si>
    <t xml:space="preserve">HRBP (program), Managers (conduct interviews), HR Analytics (theme analysis)</t>
  </si>
  <si>
    <t xml:space="preserve">ER-01</t>
  </si>
  <si>
    <t xml:space="preserve">Speak-up intake &amp; triage</t>
  </si>
  <si>
    <t xml:space="preserve">Ethics &amp; Compliance (intake &amp; triage), Employee Relations (HR-conduct matters), Legal (privilege &amp; escalation)</t>
  </si>
  <si>
    <t xml:space="preserve">ER-03</t>
  </si>
  <si>
    <t xml:space="preserve">Harassment complaints (statutory committees)</t>
  </si>
  <si>
    <t xml:space="preserve">Employee Relations (process), country HR leads (committee administration), Legal (statutory notifications &amp; filings)</t>
  </si>
  <si>
    <t xml:space="preserve">LV-03</t>
  </si>
  <si>
    <t xml:space="preserve">Return to work</t>
  </si>
  <si>
    <t xml:space="preserve">Benefits - Leave &amp; Accommodation team (process), HRBP (reinstatement), Manager (reboarding)</t>
  </si>
  <si>
    <t xml:space="preserve">MV-06</t>
  </si>
  <si>
    <t xml:space="preserve">Immigration maintenance &amp; green cards</t>
  </si>
  <si>
    <t xml:space="preserve">Immigration (program owner), outside immigration counsel (filings), HRBP (sponsorship decisions)</t>
  </si>
  <si>
    <t xml:space="preserve">OF-04</t>
  </si>
  <si>
    <t xml:space="preserve">Separation agreements &amp; releases</t>
  </si>
  <si>
    <t xml:space="preserve">Legal (templates and deviations), HRBP (delivery), Payroll (payment)</t>
  </si>
  <si>
    <t xml:space="preserve">OF-05</t>
  </si>
  <si>
    <t xml:space="preserve">Final pay, benefits &amp; equity at exit</t>
  </si>
  <si>
    <t xml:space="preserve">Payroll (accountable), Benefits and Stock Admin (notices and equity), People Ops (trigger and documents)</t>
  </si>
  <si>
    <t xml:space="preserve">OF-06</t>
  </si>
  <si>
    <t xml:space="preserve">Access removal &amp; asset recovery</t>
  </si>
  <si>
    <t xml:space="preserve">IT (execution), Security (timing and high-risk cases), People Ops (trigger)</t>
  </si>
  <si>
    <t xml:space="preserve">OF-08</t>
  </si>
  <si>
    <t xml:space="preserve">Retirement</t>
  </si>
  <si>
    <t xml:space="preserve">HRBP (process), Total Rewards and Stock Admin (retirement benefits and equity), People Ops (execution)</t>
  </si>
  <si>
    <t xml:space="preserve">OF-09</t>
  </si>
  <si>
    <t xml:space="preserve">Death of an employee</t>
  </si>
  <si>
    <t xml:space="preserve">HRBP (family liaison and process), with Payroll, Benefits and Stock Admin (entitlements) and EHS (work-related deaths)</t>
  </si>
  <si>
    <t xml:space="preserve">R-USWA-18</t>
  </si>
  <si>
    <t xml:space="preserve">Silenced No More carve-outs in agreements</t>
  </si>
  <si>
    <t xml:space="preserve">R-USWA-19</t>
  </si>
  <si>
    <t xml:space="preserve">Captive-audience meeting control</t>
  </si>
  <si>
    <t xml:space="preserve">R-VN-01</t>
  </si>
  <si>
    <t xml:space="preserve">Vietnam internal labour regulations: consultation, registration &amp; posting</t>
  </si>
  <si>
    <t xml:space="preserve">Vietnam HR + Legal</t>
  </si>
  <si>
    <t xml:space="preserve">R-VN-04</t>
  </si>
  <si>
    <t xml:space="preserve">Vietnam trade union fee (2% of SI salary fund)</t>
  </si>
  <si>
    <t xml:space="preserve">Payroll (Vietnam) + Finance</t>
  </si>
  <si>
    <t xml:space="preserve">R-VN-14</t>
  </si>
  <si>
    <t xml:space="preserve">Vietnam DPO, breach notification &amp; data-subject requests</t>
  </si>
  <si>
    <t xml:space="preserve">Privacy + IT Security + Vietnam HR</t>
  </si>
  <si>
    <t xml:space="preserve">TA-01</t>
  </si>
  <si>
    <t xml:space="preserve">Job posting &amp; pay-range compliance</t>
  </si>
  <si>
    <t xml:space="preserve">Talent Acquisition (process), Total Rewards (posted ranges), Legal (jurisdiction rule library)</t>
  </si>
  <si>
    <t xml:space="preserve">TA-02</t>
  </si>
  <si>
    <t xml:space="preserve">Sourcing, agencies &amp; referrals</t>
  </si>
  <si>
    <t xml:space="preserve">Talent Acquisition (process), Ethics &amp; Compliance (sensitive referrals), Legal (agency terms, antitrust), Payroll (referral bonuses)</t>
  </si>
  <si>
    <t xml:space="preserve">TA-05</t>
  </si>
  <si>
    <t xml:space="preserve">Background &amp; reference checks</t>
  </si>
  <si>
    <t xml:space="preserve">Talent Acquisition Operations (process), Legal (screening matrix and adverse decisions), Background-check vendor (execution)</t>
  </si>
  <si>
    <t xml:space="preserve">DS-06</t>
  </si>
  <si>
    <t xml:space="preserve">HR vendor &amp; AI tool onboarding</t>
  </si>
  <si>
    <t xml:space="preserve">People Ops (HR tech intake), Legal / Privacy (assessments &amp; AI compliance), Security (vendor risk), Finance / Procurement (contracting)</t>
  </si>
  <si>
    <t xml:space="preserve">DS-07</t>
  </si>
  <si>
    <t xml:space="preserve">Employment verification requests</t>
  </si>
  <si>
    <t xml:space="preserve">People Ops (verification desk), Legal (subpoenas &amp; government requests)</t>
  </si>
  <si>
    <t xml:space="preserve">EQ-02</t>
  </si>
  <si>
    <t xml:space="preserve">Vesting, release &amp; tax withholding</t>
  </si>
  <si>
    <t xml:space="preserve">Stock Admin (release process), Payroll (income reporting and tax remittance), Tax (withholding rules), Legal (insider rules for sales)</t>
  </si>
  <si>
    <t xml:space="preserve">EQ-03</t>
  </si>
  <si>
    <t xml:space="preserve">ESPP enrollment &amp; purchase</t>
  </si>
  <si>
    <t xml:space="preserve">Stock Admin (plan administration), Payroll (contributions and refunds), Total Rewards (plan design), Legal (country feasibility and securities)</t>
  </si>
  <si>
    <t xml:space="preserve">EQ-04</t>
  </si>
  <si>
    <t xml:space="preserve">Insider trading pre-clearance &amp; blackouts</t>
  </si>
  <si>
    <t xml:space="preserve">Legal (Securities) - insider trading compliance officer, Stock Admin (broker controls), People Ops (list feeds and acknowledgments)</t>
  </si>
  <si>
    <t xml:space="preserve">EQ-05</t>
  </si>
  <si>
    <t xml:space="preserve">Section 16 reporting</t>
  </si>
  <si>
    <t xml:space="preserve">Legal (Securities) / Corporate Secretary (filings), Stock Admin (transaction data), People Ops (officer status changes)</t>
  </si>
  <si>
    <t xml:space="preserve">EQ-06</t>
  </si>
  <si>
    <t xml:space="preserve">Clawback administration</t>
  </si>
  <si>
    <t xml:space="preserve">Comp Committee (policy administrator), Legal (determination and recovery), Total Rewards (calculation), Finance (restatement and financial measures)</t>
  </si>
  <si>
    <t xml:space="preserve">ER-04</t>
  </si>
  <si>
    <t xml:space="preserve">Corrective action &amp; discipline</t>
  </si>
  <si>
    <t xml:space="preserve">Manager (decision), HRBP (process), Employee Relations (consistency &amp; quality), Legal (dismissal-level review)</t>
  </si>
  <si>
    <t xml:space="preserve">ER-05</t>
  </si>
  <si>
    <t xml:space="preserve">Whistleblower &amp; hotline case management</t>
  </si>
  <si>
    <t xml:space="preserve">Ethics &amp; Compliance (program owner), Legal (SOX/SEC matters), Audit Committee (oversight of accounting complaints)</t>
  </si>
  <si>
    <t xml:space="preserve">ER-06</t>
  </si>
  <si>
    <t xml:space="preserve">Conflict-of-interest disclosure</t>
  </si>
  <si>
    <t xml:space="preserve">Ethics &amp; Compliance (program), Legal (executive &amp; related-person items), Manager (mitigation)</t>
  </si>
  <si>
    <t xml:space="preserve">ER-07</t>
  </si>
  <si>
    <t xml:space="preserve">Threat assessment &amp; workplace violence</t>
  </si>
  <si>
    <t xml:space="preserve">Security (Threat Assessment Team lead), Employee Relations (people actions), EHS (WVPP / OHSA program compliance), Legal</t>
  </si>
  <si>
    <t xml:space="preserve">ER-08</t>
  </si>
  <si>
    <t xml:space="preserve">Labor relations &amp; employee consultation</t>
  </si>
  <si>
    <t xml:space="preserve">Employee Relations (global labor relations), country HR leads (local bodies), Legal (labor counsel)</t>
  </si>
  <si>
    <t xml:space="preserve">ER-09</t>
  </si>
  <si>
    <t xml:space="preserve">Legal hold &amp; litigation support</t>
  </si>
  <si>
    <t xml:space="preserve">Legal (hold owner), People Ops (HR record custodian), IT (system preservation)</t>
  </si>
  <si>
    <t xml:space="preserve">HS-01</t>
  </si>
  <si>
    <t xml:space="preserve">Incident &amp; injury reporting</t>
  </si>
  <si>
    <t xml:space="preserve">EHS (process), line managers (scene control and corrective actions), Legal (serious incidents and regulator contact)</t>
  </si>
  <si>
    <t xml:space="preserve">HS-02</t>
  </si>
  <si>
    <t xml:space="preserve">Crisis response &amp; duty of care</t>
  </si>
  <si>
    <t xml:space="preserve">Security (crisis management and travel risk), HRBP (people support), People Ops (rosters), EHS (site emergency plans)</t>
  </si>
  <si>
    <t xml:space="preserve">HS-03</t>
  </si>
  <si>
    <t xml:space="preserve">Lab &amp; EHS safety program</t>
  </si>
  <si>
    <t xml:space="preserve">EHS (program), lab managers (daily compliance), Security (lab access), Facilities (engineering controls)</t>
  </si>
  <si>
    <t xml:space="preserve">LV-04</t>
  </si>
  <si>
    <t xml:space="preserve">Occupational injury &amp; workers' comp claims</t>
  </si>
  <si>
    <t xml:space="preserve">Benefits (claims process), EHS (recording and investigation through HS-01), Payroll (wage continuation), carrier or statutory board (adjudication)</t>
  </si>
  <si>
    <t xml:space="preserve">LV-05</t>
  </si>
  <si>
    <t xml:space="preserve">PTO &amp; holiday administration</t>
  </si>
  <si>
    <t xml:space="preserve">People Ops (process and configuration), Total Rewards (policy), Payroll (vacation pay and payouts), Managers (approvals)</t>
  </si>
  <si>
    <t xml:space="preserve">OF-10</t>
  </si>
  <si>
    <t xml:space="preserve">Alumni, references &amp; rehire eligibility</t>
  </si>
  <si>
    <t xml:space="preserve">People Ops (references, verification, certificates), HRBP (rehire eligibility), Recruiter (alumni and boomerang pipeline)</t>
  </si>
  <si>
    <t xml:space="preserve">ON-02</t>
  </si>
  <si>
    <t xml:space="preserve">Right-to-work verification</t>
  </si>
  <si>
    <t xml:space="preserve">People Ops (process), Immigration (foreign-national permits), Legal (I-9 and E-Verify policy)</t>
  </si>
  <si>
    <t xml:space="preserve">ON-03</t>
  </si>
  <si>
    <t xml:space="preserve">Hire transaction &amp; HRIS setup</t>
  </si>
  <si>
    <t xml:space="preserve">People Ops (process and data), Payroll (payroll acceptance), Finance (cost center and SOX control owner)</t>
  </si>
  <si>
    <t xml:space="preserve">ON-05</t>
  </si>
  <si>
    <t xml:space="preserve">Relocation</t>
  </si>
  <si>
    <t xml:space="preserve">Mobility (process and vendor), Total Rewards (package design), Payroll (tax reporting), Legal (repayment agreements)</t>
  </si>
  <si>
    <t xml:space="preserve">PD-01</t>
  </si>
  <si>
    <t xml:space="preserve">Goal setting &amp; check-ins</t>
  </si>
  <si>
    <t xml:space="preserve">HRBP (process), Managers (execution), People Ops (system configuration)</t>
  </si>
  <si>
    <t xml:space="preserve">PD-04</t>
  </si>
  <si>
    <t xml:space="preserve">Promotion</t>
  </si>
  <si>
    <t xml:space="preserve">HRBP (process), Dept Head (approval), Total Rewards (pricing)</t>
  </si>
  <si>
    <t xml:space="preserve">PY-02</t>
  </si>
  <si>
    <t xml:space="preserve">Off-cycle &amp; manual payments</t>
  </si>
  <si>
    <t xml:space="preserve">Payroll (process), Finance (approval and SOX control owner), HRBP/People Ops (requesters)</t>
  </si>
  <si>
    <t xml:space="preserve">PY-03</t>
  </si>
  <si>
    <t xml:space="preserve">Time, attendance &amp; overtime</t>
  </si>
  <si>
    <t xml:space="preserve">Payroll (process and calculation), Manager (approval), HRBP (policy, caps and remediation), People Ops (classification data)</t>
  </si>
  <si>
    <t xml:space="preserve">PY-04</t>
  </si>
  <si>
    <t xml:space="preserve">Year-end &amp; statutory payroll filings</t>
  </si>
  <si>
    <t xml:space="preserve">Payroll (process), Finance/Tax (review and sign-off), Benefits (ACA data), Stock Admin (equity income true-up)</t>
  </si>
  <si>
    <t xml:space="preserve">PY-05</t>
  </si>
  <si>
    <t xml:space="preserve">Payroll error correction &amp; overpayment recovery</t>
  </si>
  <si>
    <t xml:space="preserve">Payroll (process), HRBP (employee communication), Legal (recovery method outside standard templates), Finance (write-off approval)</t>
  </si>
  <si>
    <t xml:space="preserve">R-017</t>
  </si>
  <si>
    <t xml:space="preserve">India statutory appointment letter</t>
  </si>
  <si>
    <t xml:space="preserve">India HR Ops</t>
  </si>
  <si>
    <t xml:space="preserve">R-110</t>
  </si>
  <si>
    <t xml:space="preserve">China PIPL HR compliance file (PIPIA, cross-border transfer pathway, audits)</t>
  </si>
  <si>
    <t xml:space="preserve">Privacy + China HR + Legal</t>
  </si>
  <si>
    <t xml:space="preserve">R-143</t>
  </si>
  <si>
    <t xml:space="preserve">Taiwan separation certificates &amp; insurance withdrawal</t>
  </si>
  <si>
    <t xml:space="preserve">TA-07</t>
  </si>
  <si>
    <t xml:space="preserve">Immigration sponsorship for new hires</t>
  </si>
  <si>
    <t xml:space="preserve">Immigration (process), Talent Acquisition (candidate), Dept Head (cost approval), Legal (policy)</t>
  </si>
  <si>
    <t xml:space="preserve">TA-08</t>
  </si>
  <si>
    <t xml:space="preserve">University &amp; intern hiring</t>
  </si>
  <si>
    <t xml:space="preserve">University Recruiting (Talent Acquisition), Hiring Managers (projects), L&amp;D (program), Legal (student-status and pay rules)</t>
  </si>
  <si>
    <t xml:space="preserve">TA-09</t>
  </si>
  <si>
    <t xml:space="preserve">Executive hiring</t>
  </si>
  <si>
    <t xml:space="preserve">CHRO (process), Comp Committee (pay approval), Legal and Corporate Secretary (disclosure and Section 16)</t>
  </si>
  <si>
    <t xml:space="preserve">ER-10</t>
  </si>
  <si>
    <t xml:space="preserve">Trade-secret protection for departing employees</t>
  </si>
  <si>
    <t xml:space="preserve">Security / Insider Risk (lead), Legal (IP &amp; employment), HRBP (process), IT (access &amp; devices)</t>
  </si>
  <si>
    <t xml:space="preserve">PD-05</t>
  </si>
  <si>
    <t xml:space="preserve">Talent review &amp; succession</t>
  </si>
  <si>
    <t xml:space="preserve">CHRO (enterprise plan), HRBPs (org reviews), Board Nominating/Governance Committee (CEO succession)</t>
  </si>
  <si>
    <t xml:space="preserve">PD-07</t>
  </si>
  <si>
    <t xml:space="preserve">Learning programs &amp; tuition assistance</t>
  </si>
  <si>
    <t xml:space="preserve">L&amp;D (program), Legal (agreement templates), Payroll (tax treatment)</t>
  </si>
  <si>
    <t xml:space="preserve">R-028</t>
  </si>
  <si>
    <t xml:space="preserve">Taiwan employee roster, wage &amp; minute-level attendance records; overtime consents</t>
  </si>
  <si>
    <t xml:space="preserve">R-033</t>
  </si>
  <si>
    <t xml:space="preserve">California pay-scale requests &amp; job title/wage history records</t>
  </si>
  <si>
    <t xml:space="preserve">R-055</t>
  </si>
  <si>
    <t xml:space="preserve">ERISA &amp; HIPAA plan documentation (SPD/SMM, NQTL analysis, HIPAA firewall)</t>
  </si>
  <si>
    <t xml:space="preserve">Benefits + Employment Legal (ERISA) + Privacy</t>
  </si>
  <si>
    <t xml:space="preserve">R-145</t>
  </si>
  <si>
    <t xml:space="preserve">China termination certificate &amp; 15-day file/social-insurance transfer</t>
  </si>
  <si>
    <t xml:space="preserve">R-DE-01</t>
  </si>
  <si>
    <t xml:space="preserve">Germany written statement of essential terms (Nachweis)</t>
  </si>
  <si>
    <t xml:space="preserve">Germany HR Ops + Legal</t>
  </si>
  <si>
    <t xml:space="preserve">R-IL-19</t>
  </si>
  <si>
    <t xml:space="preserve">Pre-dismissal hearing (shimua) record</t>
  </si>
  <si>
    <t xml:space="preserve">HRBP + Employment Legal</t>
  </si>
  <si>
    <t xml:space="preserve">R-USCO-02</t>
  </si>
  <si>
    <t xml:space="preserve">Job description and wage-rate history records</t>
  </si>
  <si>
    <t xml:space="preserve">People Ops + Total Rewards</t>
  </si>
  <si>
    <t xml:space="preserve">R-USCO-10</t>
  </si>
  <si>
    <t xml:space="preserve">POWR Act harassment program and complaint repository</t>
  </si>
  <si>
    <t xml:space="preserve">R-USNC-10</t>
  </si>
  <si>
    <t xml:space="preserve">OSHANC injury reporting and recordkeeping</t>
  </si>
  <si>
    <t xml:space="preserve">EHS</t>
  </si>
  <si>
    <t xml:space="preserve">R-USTX-03</t>
  </si>
  <si>
    <t xml:space="preserve">Written wage-deduction authorizations file</t>
  </si>
  <si>
    <t xml:space="preserve">R-USTX-13</t>
  </si>
  <si>
    <t xml:space="preserve">AI system inventory and documentation (TRAIGA)</t>
  </si>
  <si>
    <t xml:space="preserve">HR Analytics + Privacy + Employment Legal</t>
  </si>
  <si>
    <t xml:space="preserve">R-USWA-13</t>
  </si>
  <si>
    <t xml:space="preserve">Personnel file and discharge-statement requests</t>
  </si>
  <si>
    <t xml:space="preserve">HR Ops + Employment Legal</t>
  </si>
  <si>
    <t xml:space="preserve">R-VN-06</t>
  </si>
  <si>
    <t xml:space="preserve">Vietnam labour management book, labour registration &amp; usage reports</t>
  </si>
  <si>
    <t xml:space="preserve">R-VN-17</t>
  </si>
  <si>
    <t xml:space="preserve">Vietnam disciplinary meeting notices, minutes &amp; decisions</t>
  </si>
  <si>
    <t xml:space="preserve">Employee Relations + Vietnam HR</t>
  </si>
  <si>
    <t xml:space="preserve">TA-10</t>
  </si>
  <si>
    <t xml:space="preserve">Rehire, relatives &amp; conflict screening</t>
  </si>
  <si>
    <t xml:space="preserve">Talent Acquisition (questionnaire), Ethics &amp; Compliance (FCPA and conflicts), Legal (restrictive covenants and Item 404)</t>
  </si>
  <si>
    <t xml:space="preserve">TA-11</t>
  </si>
  <si>
    <t xml:space="preserve">Candidate privacy &amp; data retention</t>
  </si>
  <si>
    <t xml:space="preserve">Legal (Privacy) as policy owner; TA Operations as process and ATS configuration owner</t>
  </si>
  <si>
    <t xml:space="preserve">POL-07</t>
  </si>
  <si>
    <t xml:space="preserve">Workplace Relationships &amp; Employment of Relatives</t>
  </si>
  <si>
    <t xml:space="preserve">Best practice</t>
  </si>
  <si>
    <t xml:space="preserve">POL-22</t>
  </si>
  <si>
    <t xml:space="preserve">Early Careers &amp; Internships</t>
  </si>
  <si>
    <t xml:space="preserve">Talent Acquisition (University Programs)</t>
  </si>
  <si>
    <t xml:space="preserve">POL-23</t>
  </si>
  <si>
    <t xml:space="preserve">Compensation Philosophy &amp; Pay Administration</t>
  </si>
  <si>
    <t xml:space="preserve">Total Rewards</t>
  </si>
  <si>
    <t xml:space="preserve">POL-38</t>
  </si>
  <si>
    <t xml:space="preserve">Hybrid &amp; Remote Work</t>
  </si>
  <si>
    <t xml:space="preserve">HR Policy (People Ops) with Workplace/Facilities</t>
  </si>
  <si>
    <t xml:space="preserve">POL-40</t>
  </si>
  <si>
    <t xml:space="preserve">Global Mobility</t>
  </si>
  <si>
    <t xml:space="preserve">Global Mobility (with Immigration and Tax)</t>
  </si>
  <si>
    <t xml:space="preserve">POL-42</t>
  </si>
  <si>
    <t xml:space="preserve">Performance Management</t>
  </si>
  <si>
    <t xml:space="preserve">Talent Management with HR Business Partners</t>
  </si>
  <si>
    <t xml:space="preserve">R-113</t>
  </si>
  <si>
    <t xml:space="preserve">HR data breach &amp; cyber incident response playbook</t>
  </si>
  <si>
    <t xml:space="preserve">Privacy + IT Security + Legal + HR Ops</t>
  </si>
  <si>
    <t xml:space="preserve">POL-25</t>
  </si>
  <si>
    <t xml:space="preserve">Variable Pay &amp; Bonus</t>
  </si>
  <si>
    <t xml:space="preserve">Total Rewards with Finance (FP&amp;A)</t>
  </si>
  <si>
    <t xml:space="preserve">POL-32</t>
  </si>
  <si>
    <t xml:space="preserve">Employee Referral Program</t>
  </si>
  <si>
    <t xml:space="preserve">POL-43</t>
  </si>
  <si>
    <t xml:space="preserve">Promotion &amp; Internal Mobility</t>
  </si>
  <si>
    <t xml:space="preserve">Talent Management with Talent Acquisition</t>
  </si>
  <si>
    <t xml:space="preserve">POL-52</t>
  </si>
  <si>
    <t xml:space="preserve">Resignation, Notice &amp; Garden Leave</t>
  </si>
  <si>
    <t xml:space="preserve">People Ops (Offboarding) with Employee Relations</t>
  </si>
  <si>
    <t xml:space="preserve">R-USCO-19</t>
  </si>
  <si>
    <t xml:space="preserve">Colorado harassment and fair-hiring training</t>
  </si>
  <si>
    <t xml:space="preserve">L&amp;D + Employee Relations + TA Ops</t>
  </si>
  <si>
    <t xml:space="preserve">POL-44</t>
  </si>
  <si>
    <t xml:space="preserve">Learning &amp; Tuition Assistance</t>
  </si>
  <si>
    <t xml:space="preserve">Learning &amp; Development</t>
  </si>
  <si>
    <t xml:space="preserve">POL-56</t>
  </si>
  <si>
    <t xml:space="preserve">References &amp; Employment Verification</t>
  </si>
  <si>
    <t xml:space="preserve">People Ops (Employment Verification)</t>
  </si>
  <si>
    <t xml:space="preserve">R-081</t>
  </si>
  <si>
    <t xml:space="preserve">Protected-activity check before adverse action</t>
  </si>
  <si>
    <t xml:space="preserve">Employee Relations + Employment Legal + HRBP</t>
  </si>
  <si>
    <t xml:space="preserve">R-USTX-07</t>
  </si>
  <si>
    <t xml:space="preserve">Non-subscriber occupational injury benefit plan (if opting out)</t>
  </si>
  <si>
    <t xml:space="preserve">Benefits + Risk Management + Legal</t>
  </si>
  <si>
    <t xml:space="preserve">R-USTX-18</t>
  </si>
  <si>
    <t xml:space="preserve">Texas restrictive covenant program</t>
  </si>
  <si>
    <t xml:space="preserve">Employment Legal + Total Rewards + HRBPs</t>
  </si>
  <si>
    <t xml:space="preserve">Date</t>
  </si>
  <si>
    <t xml:space="preserve">Milestone</t>
  </si>
  <si>
    <t xml:space="preserve">Done when</t>
  </si>
  <si>
    <t xml:space="preserve">M01</t>
  </si>
  <si>
    <t xml:space="preserve">Project kickoff</t>
  </si>
  <si>
    <t xml:space="preserve">W0</t>
  </si>
  <si>
    <t xml:space="preserve">event</t>
  </si>
  <si>
    <t xml:space="preserve">Kickoff held with sponsor, workstream leads, regional HR leads and Legal.</t>
  </si>
  <si>
    <t xml:space="preserve">M02</t>
  </si>
  <si>
    <t xml:space="preserve">Charter approved</t>
  </si>
  <si>
    <t xml:space="preserve">gate</t>
  </si>
  <si>
    <t xml:space="preserve">Steering committee approves charter, scope, resourcing and governance.</t>
  </si>
  <si>
    <t xml:space="preserve">M03</t>
  </si>
  <si>
    <t xml:space="preserve">Approval chains configured</t>
  </si>
  <si>
    <t xml:space="preserve">deliverable</t>
  </si>
  <si>
    <t xml:space="preserve">Every chain has named approvers; test submission run end to end.</t>
  </si>
  <si>
    <t xml:space="preserve">M04</t>
  </si>
  <si>
    <t xml:space="preserve">Baseline complete and Mobilize gate</t>
  </si>
  <si>
    <t xml:space="preserve">All 438 items have an owner, a current-state rating and a wave; plan v1.0 baselined.</t>
  </si>
  <si>
    <t xml:space="preserve">M05</t>
  </si>
  <si>
    <t xml:space="preserve">Wave 1 starts</t>
  </si>
  <si>
    <t xml:space="preserve">W1</t>
  </si>
  <si>
    <t xml:space="preserve">Wave 1 items in Discover; workshops scheduled.</t>
  </si>
  <si>
    <t xml:space="preserve">M06</t>
  </si>
  <si>
    <t xml:space="preserve">Wave 1 drafts complete</t>
  </si>
  <si>
    <t xml:space="preserve">All Wave 1 drafts submitted for review before the year-end freeze.</t>
  </si>
  <si>
    <t xml:space="preserve">M07</t>
  </si>
  <si>
    <t xml:space="preserve">Wave 1 approvals complete</t>
  </si>
  <si>
    <t xml:space="preserve">Every Wave 1 approval chain closed; works council consultations started where required.</t>
  </si>
  <si>
    <t xml:space="preserve">M08</t>
  </si>
  <si>
    <t xml:space="preserve">Wave 1 live</t>
  </si>
  <si>
    <t xml:space="preserve">Wave 1 published, communicated and evidenced; wave retrospective held.</t>
  </si>
  <si>
    <t xml:space="preserve">M09</t>
  </si>
  <si>
    <t xml:space="preserve">Wave 2 starts</t>
  </si>
  <si>
    <t xml:space="preserve">W2</t>
  </si>
  <si>
    <t xml:space="preserve">Wave 2 items in Discover.</t>
  </si>
  <si>
    <t xml:space="preserve">M10</t>
  </si>
  <si>
    <t xml:space="preserve">Wave 2 drafts complete</t>
  </si>
  <si>
    <t xml:space="preserve">All Wave 2 drafts submitted for review.</t>
  </si>
  <si>
    <t xml:space="preserve">M11</t>
  </si>
  <si>
    <t xml:space="preserve">Wave 2 live</t>
  </si>
  <si>
    <t xml:space="preserve">Wave 2 published, communicated and evidenced.</t>
  </si>
  <si>
    <t xml:space="preserve">M12</t>
  </si>
  <si>
    <t xml:space="preserve">Wave 3 starts</t>
  </si>
  <si>
    <t xml:space="preserve">W3</t>
  </si>
  <si>
    <t xml:space="preserve">Wave 3 items in Discover.</t>
  </si>
  <si>
    <t xml:space="preserve">M13</t>
  </si>
  <si>
    <t xml:space="preserve">Wave 3 drafts complete</t>
  </si>
  <si>
    <t xml:space="preserve">All Wave 3 drafts submitted for review.</t>
  </si>
  <si>
    <t xml:space="preserve">M14</t>
  </si>
  <si>
    <t xml:space="preserve">Wave 3 live: all required items done</t>
  </si>
  <si>
    <t xml:space="preserve">Every legal, public-company and semiconductor item is live with evidence.</t>
  </si>
  <si>
    <t xml:space="preserve">M15</t>
  </si>
  <si>
    <t xml:space="preserve">Global attestation campaign launched</t>
  </si>
  <si>
    <t xml:space="preserve">W4</t>
  </si>
  <si>
    <t xml:space="preserve">All employees asked to acknowledge the updated Code and core policies.</t>
  </si>
  <si>
    <t xml:space="preserve">M16</t>
  </si>
  <si>
    <t xml:space="preserve">Audit readiness review</t>
  </si>
  <si>
    <t xml:space="preserve">Internal Audit samples 40 items and confirms evidence is complete.</t>
  </si>
  <si>
    <t xml:space="preserve">M17</t>
  </si>
  <si>
    <t xml:space="preserve">Handover to business as usual</t>
  </si>
  <si>
    <t xml:space="preserve">Every item has a named owner, a review date and a place in the annual review calendar.</t>
  </si>
  <si>
    <t xml:space="preserve">M18</t>
  </si>
  <si>
    <t xml:space="preserve">Project close</t>
  </si>
  <si>
    <t xml:space="preserve">Close-out report and lessons learned approved by the steering committee.</t>
  </si>
  <si>
    <t xml:space="preserve">Risk</t>
  </si>
  <si>
    <t xml:space="preserve">Detail</t>
  </si>
  <si>
    <t xml:space="preserve">Likelihood</t>
  </si>
  <si>
    <t xml:space="preserve">Impact</t>
  </si>
  <si>
    <t xml:space="preserve">Score</t>
  </si>
  <si>
    <t xml:space="preserve">Mitigation</t>
  </si>
  <si>
    <t xml:space="preserve">Trigger</t>
  </si>
  <si>
    <t xml:space="preserve">R01</t>
  </si>
  <si>
    <t xml:space="preserve">Germany works council co-determination delays</t>
  </si>
  <si>
    <t xml:space="preserve">Where a works council exists at a German establishment, policies on conduct rules (BetrVG §87(1) no.1), working time (nos.2-3), technical tools able to monitor behaviour or performance such as the HRIS, M365 and DLP (no.6), pay and bonus principles (nos.10-11), mobile work (no.14) and health protection must be adopted as works agreements. The council can enjoin a unilateral rollout, and an unresolved dispute goes to the Einigungsstelle, which can push German effective dates months past the global date.</t>
  </si>
  <si>
    <t xml:space="preserve">Medium</t>
  </si>
  <si>
    <t xml:space="preserve">High</t>
  </si>
  <si>
    <t xml:space="preserve">Regional HR lead (EMEA)</t>
  </si>
  <si>
    <t xml:space="preserve">Confirm by 30 Oct 2026 whether a works council exists at each German establishment. Tag every co-determined item in Atlas at Discover. Brief the council on the Atlas scope in November, group co-determined topics into one framework works agreement with annexes, and open consultation on Wave 1 items by 29 Jan 2027 (M07). Publish global policies with a German addendum that names the sections applying only once the works agreement is signed.</t>
  </si>
  <si>
    <t xml:space="preserve">No agreement in principle 6 weeks after consultation opens, or the council asks for the Einigungsstelle.</t>
  </si>
  <si>
    <t xml:space="preserve">Open</t>
  </si>
  <si>
    <t xml:space="preserve">R02</t>
  </si>
  <si>
    <t xml:space="preserve">China democratic procedure not completed or not evidenced</t>
  </si>
  <si>
    <t xml:space="preserve">Rules on pay, hours, leave, safety, discipline and training must be discussed with the employee congress or all employees, finalised after consultation with the union or employee representatives and publicised with signed acknowledgment (Labor Contract Law Art. 4). If a step is skipped or the records are missing, the handbook cannot support an Art. 39 dismissal. The Lunar New Year freeze (5 to 14 Feb 2027) removes the last two weeks of Wave 1.</t>
  </si>
  <si>
    <t xml:space="preserve">Country HR lead, China</t>
  </si>
  <si>
    <t xml:space="preserve">Run one consolidated democratic procedure per wave covering Shanghai and Shenzhen, not one per policy. Use a bilingual handbook with Chinese prevailing. Hold the Wave 1 procedure from 6 to 29 Jan 2027 and publish after the freeze. File meeting notices, sign-in sheets, the comment log, consultation minutes and signed acknowledgments in Atlas before the item can move to Go live.</t>
  </si>
  <si>
    <t xml:space="preserve">A China item reaches Approve without consultation records, or acknowledgment is below 95% two weeks after publication.</t>
  </si>
  <si>
    <t xml:space="preserve">R03</t>
  </si>
  <si>
    <t xml:space="preserve">Vietnam internal labour regulations registration delays</t>
  </si>
  <si>
    <t xml:space="preserve">Rules on working time, discipline, sexual harassment, protection of secrets and material liability bind employees only once they sit in internal labour regulations (ILR) that were consulted with the grassroots union, registered with the provincial Department of Home Affairs within 10 days of issue and posted at the workplace. ILR take effect 15 days after the authority receives a complete dossier, and discipline is valid only on registered grounds. An incomplete dossier restarts the clock.</t>
  </si>
  <si>
    <t xml:space="preserve">Country HR lead, Vietnam</t>
  </si>
  <si>
    <t xml:space="preserve">Batch ILR changes into one registration per wave. Have local counsel pre-check the Vietnamese dossier before submission. Keep the current registered ILR in force until the new version takes effect, and schedule union consultation and submission outside the Tet freeze (5 to 14 Feb 2027).</t>
  </si>
  <si>
    <t xml:space="preserve">Dossier returned as incomplete, or no proof of receipt within 10 working days of submission.</t>
  </si>
  <si>
    <t xml:space="preserve">R04</t>
  </si>
  <si>
    <t xml:space="preserve">Taiwan work rules filing and approval</t>
  </si>
  <si>
    <t xml:space="preserve">With 30 or more employees, work rules must be submitted to the local labor authority (the Science Park Bureau for Hsinchu Science Park sites) for approval, posted, and refiled on every amendment. Global policies are not enforceable locally unless they are incorporated. Overtime and flexible-hours changes also need consent at the quarterly labor-management meeting, so authority comments or a missed meeting can hold Taiwan launches past the wave date.</t>
  </si>
  <si>
    <t xml:space="preserve">Country HR lead, Taiwan</t>
  </si>
  <si>
    <t xml:space="preserve">Map each global policy to a work-rule chapter at Discover. File one consolidated Traditional Chinese amendment per wave, timed to the quarterly labor-management meeting. Ask local counsel to pre-review each filing, and keep the approved work rules as the local source of truth until the amendment is approved.</t>
  </si>
  <si>
    <t xml:space="preserve">The authority asks for revisions, or approval has not arrived 8 weeks after filing.</t>
  </si>
  <si>
    <t xml:space="preserve">R05</t>
  </si>
  <si>
    <t xml:space="preserve">Translation quality and lead time</t>
  </si>
  <si>
    <t xml:space="preserve">Local versions are needed in at least German, Hebrew, Simplified Chinese, Traditional Chinese, Vietnamese, Kannada, Telugu and Spanish. In China, Taiwan and Vietnam the local text is what authorities and courts rely on. Translating drafts that later change, or using translators without HR and legal terminology, creates rework and legal exposure.</t>
  </si>
  <si>
    <t xml:space="preserve">HR Change and Communications lead</t>
  </si>
  <si>
    <t xml:space="preserve">Translate only after Legal review (policy chain step s3) is complete. Use one vendor with an HR and legal glossary and translation memory, and require in-country review by the Country HR lead within 5 business days. Plan 10 business days per batch and send batches weekly.</t>
  </si>
  <si>
    <t xml:space="preserve">More than 10% of translated documents come back with substantive errors, or a batch takes more than 10 business days.</t>
  </si>
  <si>
    <t xml:space="preserve">R06</t>
  </si>
  <si>
    <t xml:space="preserve">Legal review bottleneck</t>
  </si>
  <si>
    <t xml:space="preserve">Employment counsel reviews every policy (policy chain step s3) and every legal obligation (obligation chain step s2). Wave 1 drafts all arrive before 18 Dec 2026, so the review queue peaks around the year-end freeze, when local counsel are also slow to respond.</t>
  </si>
  <si>
    <t xml:space="preserve">Employment counsel</t>
  </si>
  <si>
    <t xml:space="preserve">Tier reviews by risk so process documents without legal content get a light review. Build a clause library for repeated text (non-retaliation, NLRA savings clause, whistleblower carve-outs, privacy notices). Engage a local counsel panel on fixed-fee bundles per country. Set a 5-business-day review target and publish queue age in the weekly PMO status report.</t>
  </si>
  <si>
    <t xml:space="preserve">More than 40 items waiting for Legal review, or a median wait above 7 business days for two weeks in a row.</t>
  </si>
  <si>
    <t xml:space="preserve">R07</t>
  </si>
  <si>
    <t xml:space="preserve">SME availability during year-end, SOX testing and the annual cycle</t>
  </si>
  <si>
    <t xml:space="preserve">Payroll, Stock Administration, Total Rewards and HRIS experts carry year-end payroll, W-2 and tax-year changes, Q4 SOX testing, the 10-K and the annual compensation cycle between December and March. Wave 1 drafting and approval fall in the same window.</t>
  </si>
  <si>
    <t xml:space="preserve">Head of Total Rewards</t>
  </si>
  <si>
    <t xml:space="preserve">Run WS4 and WS6 Discover workshops in November. Keep payroll and stock administration experts off Atlas drafting from 14 Dec 2026 to 29 Jan 2027 except for approvals. Agree backfill or contract writers for documentation, and move lower-risk WS4 items to Wave 2.</t>
  </si>
  <si>
    <t xml:space="preserve">More than 20% of scheduled SME workshops in a month are cancelled or moved.</t>
  </si>
  <si>
    <t xml:space="preserve">R08</t>
  </si>
  <si>
    <t xml:space="preserve">Holiday freezes compress Wave 1</t>
  </si>
  <si>
    <t xml:space="preserve">The year-end freeze (21 Dec 2026 to 1 Jan 2027) allows no approvals or launches, and the Lunar New Year and Tet freeze (5 to 14 Feb 2027) covers the last two weeks before Wave 1 goes live on 12 Feb 2027. Any slip in December drafts pushes approvals into late January with no slack.</t>
  </si>
  <si>
    <t xml:space="preserve">HR Program Manager</t>
  </si>
  <si>
    <t xml:space="preserve">Hold the 18 Dec 2026 draft deadline (M06) and run a readiness check on 11 Dec. Book approver time in the first two weeks of January. Set China, Taiwan and Vietnam local effective dates after the Lunar New Year freeze from the start, so the 12 Feb milestone covers only global publication for those countries.</t>
  </si>
  <si>
    <t xml:space="preserve">More than 15% of Wave 1 drafts not submitted by 18 Dec 2026.</t>
  </si>
  <si>
    <t xml:space="preserve">R09</t>
  </si>
  <si>
    <t xml:space="preserve">Approver turnover or unavailability</t>
  </si>
  <si>
    <t xml:space="preserve">Each chain step is held by a role. If an approver leaves, changes role or goes on leave, items stall, especially at steps with the 'all' rule such as Regional HR review in the policy chain, where all three regions must sign.</t>
  </si>
  <si>
    <t xml:space="preserve">Name a primary and a delegate for every chain step. Reconcile the approver roster with HRIS org data monthly. Escalate any step idle for 5 business days to the workstream lead, then to the steering committee.</t>
  </si>
  <si>
    <t xml:space="preserve">An approval step is idle for more than 5 business days, or an approver's HRIS record shows a role change, leave or termination.</t>
  </si>
  <si>
    <t xml:space="preserve">R10</t>
  </si>
  <si>
    <t xml:space="preserve">Scope creep from new laws</t>
  </si>
  <si>
    <t xml:space="preserve">Laws taking effect during the program will change items already in flight, for example California CCPA automated decision-making duties (1 Jan 2027), Colorado SB 26-189 AI notices (1 Jan 2027, replacing SB 24-205), India DPDP notice and consent duties (13 May 2027), the Washington noncompete ban (30 June 2027), California SB 947 (1 Jul 2027 if signed), Texas laws from the 2027 session (usually effective 1 Sep 2027) and German transposition of the EU Pay Transparency Directive, which missed the 7 June 2026 deadline with a bill expected in early 2027.</t>
  </si>
  <si>
    <t xml:space="preserve">Run a monthly legal change scan against the library watchlists. Add or reopen items only through a change request decided by the steering committee. Hold about 10% of Wave 3 and Wave 4 capacity for law changes, and give every item a review date so later changes go to business-as-usual owners.</t>
  </si>
  <si>
    <t xml:space="preserve">A new law or rule with an effective date before 8 Oct 2027 affects a live or in-flight item.</t>
  </si>
  <si>
    <t xml:space="preserve">R11</t>
  </si>
  <si>
    <t xml:space="preserve">Inconsistent current-state documents</t>
  </si>
  <si>
    <t xml:space="preserve">Existing policies sit in several places (intranet pages, the HRIS document library, country shared drives, offer and handbook templates), often in conflicting versions. Owners may draft from an out-of-date source, and old copies left online contradict the approved version.</t>
  </si>
  <si>
    <t xml:space="preserve">Workstream leads</t>
  </si>
  <si>
    <t xml:space="preserve">At Discover, collect every version and record the source of truth in Atlas. Rate each item's current state on the standard scale. At Go live, retire or redirect superseded copies and file the retirement as evidence.</t>
  </si>
  <si>
    <t xml:space="preserve">More than 25% of Wave 1 items are rated as having conflicting current documents at Discover.</t>
  </si>
  <si>
    <t xml:space="preserve">R12</t>
  </si>
  <si>
    <t xml:space="preserve">HRIS (Darwinbox) configuration dependencies</t>
  </si>
  <si>
    <t xml:space="preserve">Changes to leave, attendance, time recording, probation, letters and acknowledgments need Darwinbox configuration before a policy or process can go live. HRIS release windows and testing are not in the Atlas stage durations, and in Germany a change to a system able to monitor behaviour or performance may itself need a works agreement.</t>
  </si>
  <si>
    <t xml:space="preserve">Director, HRIS and People Analytics</t>
  </si>
  <si>
    <t xml:space="preserve">Flag 'system change needed' at Discover and open the HRIS ticket during Draft. Keep a joint backlog and align effective dates to the HRIS release calendar. Use the process chain publish step (s4) to confirm systems are ready before approval.</t>
  </si>
  <si>
    <t xml:space="preserve">An item reaches Approve with an HRIS ticket not scheduled before its planned effective date.</t>
  </si>
  <si>
    <t xml:space="preserve">R13</t>
  </si>
  <si>
    <t xml:space="preserve">Change fatigue</t>
  </si>
  <si>
    <t xml:space="preserve">Four waves of policy changes, acknowledgments and manager briefings over 12 months, on top of the performance and compensation cycles, risk employees and managers ignoring Atlas communications.</t>
  </si>
  <si>
    <t xml:space="preserve">Bundle each wave into one launch message and one acknowledgment request. Limit all-employee asks to two per wave. Give managers a one-page summary of what changed and why for each wave, and use local languages for country launches.</t>
  </si>
  <si>
    <t xml:space="preserve">Manager briefing attendance below 60%, or wave acknowledgment below 85% two weeks after launch.</t>
  </si>
  <si>
    <t xml:space="preserve">R14</t>
  </si>
  <si>
    <t xml:space="preserve">Attestation non-completion</t>
  </si>
  <si>
    <t xml:space="preserve">The global attestation campaign (M15, 10 Sep 2027) asks every employee to acknowledge the updated Code and core policies before the audit readiness review on 24 Sep 2027. Employees on leave, lab and operations staff with little desk time, and recent joiners pull completion down.</t>
  </si>
  <si>
    <t xml:space="preserve">Head of Employee Relations</t>
  </si>
  <si>
    <t xml:space="preserve">Run the campaign in local languages, give managers daily completion dashboards, send reminders on days 5 and 10 and escalate to HRBPs on day 12. Track employees on leave separately and attest them on return. In China and Vietnam, collect acknowledgments in the signed form the local process requires.</t>
  </si>
  <si>
    <t xml:space="preserve">Completion below 80% on day 10 of the campaign.</t>
  </si>
  <si>
    <t xml:space="preserve">R15</t>
  </si>
  <si>
    <t xml:space="preserve">Evidence gaps found at audit</t>
  </si>
  <si>
    <t xml:space="preserve">Internal Audit will sample 40 items at the audit readiness review (M16, 24 Sep 2027). Missing approval records, unfiled consultation minutes or unposted notices would undercut the claim that items are live and could become findings on SOX-relevant HR controls.</t>
  </si>
  <si>
    <t xml:space="preserve">Make evidence an exit criterion for every stage. From March 2027, spot-check 10% of live items each month using the Internal Audit sampling method, and run a mock sample of 20 items in August 2027.</t>
  </si>
  <si>
    <t xml:space="preserve">A monthly spot-check finds more than 5% of sampled live items with incomplete evidence.</t>
  </si>
  <si>
    <t xml:space="preserve">R16</t>
  </si>
  <si>
    <t xml:space="preserve">Deemed export process ownership disputes</t>
  </si>
  <si>
    <t xml:space="preserve">Deemed export screening, license determinations, the export-control role flag and access deprovisioning involve Trade Compliance, Talent Acquisition, Immigration, HR Operations and IT Security. Without one accountable owner per control, these semiconductor items cannot leave Discover, and start dates or system access may be released without clearance.</t>
  </si>
  <si>
    <t xml:space="preserve">Director, Talent Acquisition Operations</t>
  </si>
  <si>
    <t xml:space="preserve">Agree a RACI for the deemed export items at the steering committee before 6 Nov 2026: Trade Compliance accountable for license determinations, Talent Acquisition for the role flag and start-date gate, HR Operations and IT Security for deprovisioning. Route the items through the public company and semiconductor chain with Trade Compliance at step s2.</t>
  </si>
  <si>
    <t xml:space="preserve">Any deemed export item still has no agreed accountable owner at the Mobilize gate (M04, 6 Nov 2026).</t>
  </si>
  <si>
    <t xml:space="preserve">R17</t>
  </si>
  <si>
    <t xml:space="preserve">Privacy of HR data held in Atlas</t>
  </si>
  <si>
    <t xml:space="preserve">Evidence uploads (investigation files, signed acknowledgments, consultation minutes, sample letters) can bring employee personal data into Atlas, which is used from several countries. That raises cross-border transfer and retention questions under GDPR, China PIPL, Vietnam PDPL, Israel's Amendment 13 and India's DPDP rules.</t>
  </si>
  <si>
    <t xml:space="preserve">Keep Atlas to policies, process documents and evidence of completion, and link to the system of record for personal data instead of uploading it. Redact samples. Set role-based access and a retention rule, and complete a privacy review with the Privacy Office before Wave 1 starts.</t>
  </si>
  <si>
    <t xml:space="preserve">A monthly scan finds personal data in an Atlas upload, or a country privacy lead raises a transfer concern.</t>
  </si>
  <si>
    <t xml:space="preserve">R18</t>
  </si>
  <si>
    <t xml:space="preserve">India labour codes transition</t>
  </si>
  <si>
    <t xml:space="preserve">The four Labour Codes took effect on 21 Nov 2025 and central rules were finalised on 8 May 2026, but Karnataka and Telangana rules are largely still in draft, and the status of the Karnataka IT/ITeS standing-orders exemption under the IR Code is unconfirmed. India addenda drafted now may need rework when state rules are final.</t>
  </si>
  <si>
    <t xml:space="preserve">Regional HR lead (APAC)</t>
  </si>
  <si>
    <t xml:space="preserve">Draft India addenda against the central rules and the draft state rules, with a 'state rules pending' flag in Atlas. Have local counsel confirm worker versus employee classification for engineering roles. Recheck flagged items within 30 days of final state rules.</t>
  </si>
  <si>
    <t xml:space="preserve">Karnataka or Telangana publishes final rules under the Codes, or a notification on the IT/ITeS exemption is issued.</t>
  </si>
  <si>
    <t xml:space="preserve">R19</t>
  </si>
  <si>
    <t xml:space="preserve">Approval cycle time slower than plan</t>
  </si>
  <si>
    <t xml:space="preserve">The global policy chain has six steps, including Regional HR review where all three regions must sign, and the plan allows two weeks for Approve. Sequential sign-offs and returned drafts can double that.</t>
  </si>
  <si>
    <t xml:space="preserve">Have regional HR comment during Review so step s4 is a confirmation. Set a 3-business-day target per step, send automatic reminders and review an ageing report at the weekly workstream lead meeting.</t>
  </si>
  <si>
    <t xml:space="preserve">Median time in Approve above 15 business days in any wave.</t>
  </si>
  <si>
    <t xml:space="preserve">R20</t>
  </si>
  <si>
    <t xml:space="preserve">Workstream lead and owner capacity</t>
  </si>
  <si>
    <t xml:space="preserve">Workstream leads and item owners keep their day jobs. The performance and compensation cycle, open requisitions and employee relations cases compete with Atlas work throughout the year.</t>
  </si>
  <si>
    <t xml:space="preserve">Chief People Officer</t>
  </si>
  <si>
    <t xml:space="preserve">Agree protected time for leads and owners in the charter. Track planned against actual hours monthly. Move lower-risk items to later waves before deadlines slip, and fund contract writers for process documentation.</t>
  </si>
  <si>
    <t xml:space="preserve">A workstream is more than 10% behind plan on items for three consecutive weeks.</t>
  </si>
  <si>
    <t xml:space="preserve">R21</t>
  </si>
  <si>
    <t xml:space="preserve">Israel collective agreement and Hebrew requirements</t>
  </si>
  <si>
    <t xml:space="preserve">Where a collective agreement applies, policy changes affecting employment conditions must be negotiated, and Histadrut organizing in tech has grown. Statutory notices, the sexual harassment prevention bylaw and workplace postings should be in Hebrew.</t>
  </si>
  <si>
    <t xml:space="preserve">Low</t>
  </si>
  <si>
    <t xml:space="preserve">Country HR lead, Israel</t>
  </si>
  <si>
    <t xml:space="preserve">Confirm in Mobilize whether any collective agreement or representative union covers the Israeli entity. Publish Hebrew versions of core policies alongside the English text, base the bylaw on the regulations' template, and avoid launch dates on Jewish holidays.</t>
  </si>
  <si>
    <t xml:space="preserve">A union gives notice of representation, or a Hebrew version is not ready on the wave live date.</t>
  </si>
  <si>
    <t xml:space="preserve">R22</t>
  </si>
  <si>
    <t xml:space="preserve">NLRA exposure in US handbook rules</t>
  </si>
  <si>
    <t xml:space="preserve">Under Stericycle, which remains binding, confidentiality, social media, recording, civility and media-contact rules must be narrowly tailored and carry a Section 7 savings clause. The NLRB may overrule these precedents during the program, so US policies could need rework in either direction.</t>
  </si>
  <si>
    <t xml:space="preserve">Add an NLRA check to Legal review for every US policy with conduct rules, use a standard savings clause, and review the NLRB watchlist item in the monthly legal change scan.</t>
  </si>
  <si>
    <t xml:space="preserve">An NLRB decision overrules Stericycle or related precedent, or an unfair labor practice charge cites an Atlas policy.</t>
  </si>
  <si>
    <t xml:space="preserve">R23</t>
  </si>
  <si>
    <t xml:space="preserve">Low adoption of Atlas by contributors</t>
  </si>
  <si>
    <t xml:space="preserve">If owners keep drafting in email and local files, Atlas status will be wrong, approvals will happen outside the chains and evidence will be missing at audit.</t>
  </si>
  <si>
    <t xml:space="preserve">Make Atlas the only route to approval, with no sign-off by email. Train owners with V2 and V3 before Wave 1, hold weekly office hours and report each workstream's Atlas activity at status meetings.</t>
  </si>
  <si>
    <t xml:space="preserve">More than 20% of in-flight items show no Atlas activity for three weeks.</t>
  </si>
  <si>
    <t xml:space="preserve">Score = likelihood (1 low, 2 medium, 3 high) x impact (same scale). 6 or more is a high risk on the dashboard and status report.</t>
  </si>
  <si>
    <t xml:space="preserve">Issue</t>
  </si>
  <si>
    <t xml:space="preserve">Priority</t>
  </si>
  <si>
    <t xml:space="preserve">Action</t>
  </si>
  <si>
    <t xml:space="preserve">Due</t>
  </si>
  <si>
    <t xml:space="preserve">I01</t>
  </si>
  <si>
    <t xml:space="preserve">Approver roster incomplete</t>
  </si>
  <si>
    <t xml:space="preserve">Country HR lead steps for several jurisdictions and the delegates for Regional HR review have no confirmed incumbent, so the chains cannot be tested end to end before M03.</t>
  </si>
  <si>
    <t xml:space="preserve">Regional HR leads confirm a primary and a delegate for every country step; PMO runs the test submission as soon as the roster is complete.</t>
  </si>
  <si>
    <t xml:space="preserve">I02</t>
  </si>
  <si>
    <t xml:space="preserve">Current documents spread across many locations</t>
  </si>
  <si>
    <t xml:space="preserve">Existing policies and procedures sit in intranet pages, the HRIS document library, country shared drives and email, with no index, which blocks the current-state rating needed for the baseline (M04).</t>
  </si>
  <si>
    <t xml:space="preserve">Run a two-week document sweep with each workstream and region and load every version found into Atlas against its item.</t>
  </si>
  <si>
    <t xml:space="preserve">I03</t>
  </si>
  <si>
    <t xml:space="preserve">No agreed owner for deemed export controls</t>
  </si>
  <si>
    <t xml:space="preserve">Trade Compliance and Talent Acquisition each expect the other to own the export-control role flag and the start-date gate, so these semiconductor items have no owner for the baseline.</t>
  </si>
  <si>
    <t xml:space="preserve">Bring a proposed RACI to the steering committee for decision, with Trade Compliance accountable for license determinations.</t>
  </si>
  <si>
    <t xml:space="preserve">I04</t>
  </si>
  <si>
    <t xml:space="preserve">Translation vendor not under contract</t>
  </si>
  <si>
    <t xml:space="preserve">Procurement needs 4 to 6 weeks for a new vendor, but Wave 1 needs its first translated drafts in mid-January 2027.</t>
  </si>
  <si>
    <t xml:space="preserve">Use the current vendor under its existing agreement for Wave 1 while procurement runs, and agree the glossary and turnaround in writing.</t>
  </si>
  <si>
    <t xml:space="preserve">I05</t>
  </si>
  <si>
    <t xml:space="preserve">Local counsel not engaged in Taiwan and Vietnam</t>
  </si>
  <si>
    <t xml:space="preserve">Wave 1 includes a Taiwan work rules amendment and a Vietnam internal labour regulations registration, and neither country has engaged local counsel.</t>
  </si>
  <si>
    <t xml:space="preserve">Engage local counsel in both countries on a fixed-fee bundle covering the work rules filing, the ILR dossier and Wave 1 addenda.</t>
  </si>
  <si>
    <t xml:space="preserve">Assumption</t>
  </si>
  <si>
    <t xml:space="preserve">Validate by</t>
  </si>
  <si>
    <t xml:space="preserve">A01</t>
  </si>
  <si>
    <t xml:space="preserve">The 438 library items (57 policies, 97 processes, 284 legal obligations) are the full scope; new items enter only through change control.</t>
  </si>
  <si>
    <t xml:space="preserve">A02</t>
  </si>
  <si>
    <t xml:space="preserve">Workstream leads and regional HR leads can give at least 20% of their time from kickoff to 13 Aug 2027, with the time protected in the charter.</t>
  </si>
  <si>
    <t xml:space="preserve">A03</t>
  </si>
  <si>
    <t xml:space="preserve">Employment counsel, with a local counsel panel, can review 25 to 30 items a week at the Wave 1 peak.</t>
  </si>
  <si>
    <t xml:space="preserve">A04</t>
  </si>
  <si>
    <t xml:space="preserve">Whether an elected works council exists at each German establishment is confirmed in Mobilize; where none exists, German items skip policy chain step s5 with a note.</t>
  </si>
  <si>
    <t xml:space="preserve">Country HR lead, Germany</t>
  </si>
  <si>
    <t xml:space="preserve">A05</t>
  </si>
  <si>
    <t xml:space="preserve">Darwinbox stays the HRIS of record for the whole program, and the HRIS team can deliver configuration changes in monthly release windows.</t>
  </si>
  <si>
    <t xml:space="preserve">A06</t>
  </si>
  <si>
    <t xml:space="preserve">Headcount thresholds that drive local duties are confirmed per entity and site, for example Taiwan 30+ (work rules filing), Israel 25+ (sexual harassment bylaw), Vietnam 10+ (registered internal labour regulations) and India 10+, 20+ and 300+ (POSH committee, grievance committee, standing orders).</t>
  </si>
  <si>
    <t xml:space="preserve">Regional HR leads (Americas, EMEA, APAC)</t>
  </si>
  <si>
    <t xml:space="preserve">A07</t>
  </si>
  <si>
    <t xml:space="preserve">One translation vendor can cover German, Hebrew, Simplified and Traditional Chinese, Vietnamese, Kannada, Telugu and Spanish within 10 business days per batch.</t>
  </si>
  <si>
    <t xml:space="preserve">A08</t>
  </si>
  <si>
    <t xml:space="preserve">Every employee, including lab and operations staff, has a corporate login that lets them read published policies and complete acknowledgments.</t>
  </si>
  <si>
    <t xml:space="preserve">A09</t>
  </si>
  <si>
    <t xml:space="preserve">China and Vietnam entities have union or employee representative structures able to run consultation in January 2027.</t>
  </si>
  <si>
    <t xml:space="preserve">A10</t>
  </si>
  <si>
    <t xml:space="preserve">Internal Audit accepts Atlas approval records and published versions as evidence for SOX-relevant HR controls.</t>
  </si>
  <si>
    <t xml:space="preserve">A11</t>
  </si>
  <si>
    <t xml:space="preserve">No reorganisation, acquisition or reduction in force during the program year is large enough to require re-sequencing the waves.</t>
  </si>
  <si>
    <t xml:space="preserve">Decision</t>
  </si>
  <si>
    <t xml:space="preserve">D01</t>
  </si>
  <si>
    <t xml:space="preserve">Policy repository of record</t>
  </si>
  <si>
    <t xml:space="preserve">Atlas is the single repository of record for every policy, process and obligation, with version history and approvals. Intranet pages and HRIS links point to the Atlas published version, and local copies are retired at Go live. Where a local text is the binding version (China handbook, Taiwan work rules, Vietnam internal labour regulations, Germany works agreements), Atlas holds it as the country document.</t>
  </si>
  <si>
    <t xml:space="preserve">Proposed</t>
  </si>
  <si>
    <t xml:space="preserve">D02</t>
  </si>
  <si>
    <t xml:space="preserve">Global policy with country addenda</t>
  </si>
  <si>
    <t xml:space="preserve">Each policy is one global document with a country addendum wherever local law adds or changes requirements. Separate local documents are used only where the law requires them: Germany works agreements, the China employee handbook, Taiwan work rules, Vietnam internal labour regulations, India standing orders or service rules and the Israel sexual harassment prevention bylaw.</t>
  </si>
  <si>
    <t xml:space="preserve">D03</t>
  </si>
  <si>
    <t xml:space="preserve">Approval chain design</t>
  </si>
  <si>
    <t xml:space="preserve">Five role-based chains: global policy (6 steps), process document (4), legal obligation (3), public company and semiconductor control (3) and project document (3). Employee representative consultation is an optional policy step recorded with an outcome or a skip note. Every step has a named primary and delegate.</t>
  </si>
  <si>
    <t xml:space="preserve">Agreed</t>
  </si>
  <si>
    <t xml:space="preserve">D04</t>
  </si>
  <si>
    <t xml:space="preserve">Translation vendor and prevailing language</t>
  </si>
  <si>
    <t xml:space="preserve">Select one translation vendor for German, Hebrew, Simplified and Traditional Chinese, Vietnamese, Kannada, Telugu and Spanish, working from an HR and legal glossary. English is the master text except in China, Taiwan and Vietnam, where the local text prevails because courts and authorities rely on it. The Country HR lead signs off each translation.</t>
  </si>
  <si>
    <t xml:space="preserve">D05</t>
  </si>
  <si>
    <t xml:space="preserve">Wave sequencing method</t>
  </si>
  <si>
    <t xml:space="preserve">Rank items by legal, public-company and semiconductor risk, then by current-state rating. Each workstream delivers about 40% of its required items in Wave 1, 35% in Wave 2 and 25% in Wave 3, and best-practice items go to Wave 4. Policies come before the processes, notices and controls that depend on them.</t>
  </si>
  <si>
    <t xml:space="preserve">D06</t>
  </si>
  <si>
    <t xml:space="preserve">Effective-date convention</t>
  </si>
  <si>
    <t xml:space="preserve">Global effective dates fall on the 1st or 15th of a month, at least 10 business days after final approval and never inside a holiday freeze. Where consultation, filing or registration is required (Germany, China, Taiwan, Vietnam), the country addendum states a later local effective date and the policy applies there only from that date.</t>
  </si>
  <si>
    <t xml:space="preserve">D07</t>
  </si>
  <si>
    <t xml:space="preserve">Attestation and acknowledgment tool</t>
  </si>
  <si>
    <t xml:space="preserve">Choose between the Darwinbox acknowledgment workflow and a separate attestation platform for wave acknowledgments and the September 2027 global campaign. Criteria: reach to every employee including lab staff, local-language support, acknowledgment records accepted in China and Vietnam, manager reporting and an audit trail.</t>
  </si>
  <si>
    <t xml:space="preserve">D08</t>
  </si>
  <si>
    <t xml:space="preserve">Document template standard</t>
  </si>
  <si>
    <t xml:space="preserve">Policies use the library policy template (T-POLICY) with purpose, scope, policy statements, roles, country addenda, related items, owner and review date. Processes use a map, steps, controls and a RACI. Obligations use the register fields: requirement, owner, cadence, citation and evidence. All documents use plain English, sentence case and roles rather than names.</t>
  </si>
  <si>
    <t xml:space="preserve">D09</t>
  </si>
  <si>
    <t xml:space="preserve">Item ownership model</t>
  </si>
  <si>
    <t xml:space="preserve">Every item has one accountable owner role, one workstream and a backup. Obligations keep the functional owner shown in the register (for example Trade Compliance or Payroll), with the workstream lead as coordinator.</t>
  </si>
  <si>
    <t xml:space="preserve">D10</t>
  </si>
  <si>
    <t xml:space="preserve">Legal review tiering and local counsel model</t>
  </si>
  <si>
    <t xml:space="preserve">Three tiers: full review with local counsel for items with addenda in Germany, Israel, India, Taiwan, China and Vietnam; full in-house review for US and Canada policies; light review for processes without legal content. Local counsel work on fixed-fee bundles per wave.</t>
  </si>
  <si>
    <t xml:space="preserve">D11</t>
  </si>
  <si>
    <t xml:space="preserve">Germany works council approach</t>
  </si>
  <si>
    <t xml:space="preserve">If a works council exists, agree one framework works agreement for Atlas with an annex per co-determined topic (conduct, working time and recording, IT and monitoring tools, pay and bonus principles, mobile work) rather than separate agreements per policy, and decide which existing works agreements stay in force.</t>
  </si>
  <si>
    <t xml:space="preserve">D12</t>
  </si>
  <si>
    <t xml:space="preserve">Evidence standard per stage</t>
  </si>
  <si>
    <t xml:space="preserve">Define what closes each stage: current-state record (Discover), template-complete draft (Draft), resolved comment log (Review), approval chain record (Approve), and the published version with its communication, training or posting record, plus consultation minutes, filing receipt or registration where required (Go live). Internal Audit confirms it can sample against this standard.</t>
  </si>
  <si>
    <t xml:space="preserve">D13</t>
  </si>
  <si>
    <t xml:space="preserve">Personal data in Atlas</t>
  </si>
  <si>
    <t xml:space="preserve">Atlas holds documents and completion evidence, not employee records. Evidence that contains personal data stays in the system of record and is linked, samples are redacted, access is role-based and a retention rule is agreed with the Privacy Office.</t>
  </si>
  <si>
    <t xml:space="preserve">D14</t>
  </si>
  <si>
    <t xml:space="preserve">Change control for scope and new laws</t>
  </si>
  <si>
    <t xml:space="preserve">New items, or major rework caused by a law change, enter the plan only through a change request that shows the impact on wave dates and resourcing. The PMO reviews it and the steering committee decides, using the project document chain.</t>
  </si>
  <si>
    <t xml:space="preserve">Activity</t>
  </si>
  <si>
    <t xml:space="preserve">Sponsor</t>
  </si>
  <si>
    <t xml:space="preserve">SteerCo</t>
  </si>
  <si>
    <t xml:space="preserve">PMO</t>
  </si>
  <si>
    <t xml:space="preserve">WS lead</t>
  </si>
  <si>
    <t xml:space="preserve">Item owner</t>
  </si>
  <si>
    <t xml:space="preserve">Legal</t>
  </si>
  <si>
    <t xml:space="preserve">Regional HR</t>
  </si>
  <si>
    <t xml:space="preserve">Comms</t>
  </si>
  <si>
    <t xml:space="preserve">Internal Audit</t>
  </si>
  <si>
    <t xml:space="preserve">Approve charter, scope, budget and governance (M02)</t>
  </si>
  <si>
    <t xml:space="preserve">A</t>
  </si>
  <si>
    <t xml:space="preserve">R</t>
  </si>
  <si>
    <t xml:space="preserve">C</t>
  </si>
  <si>
    <t xml:space="preserve">I</t>
  </si>
  <si>
    <t xml:space="preserve">Maintain plan, RAID log and status reporting</t>
  </si>
  <si>
    <t xml:space="preserve">R/A</t>
  </si>
  <si>
    <t xml:space="preserve">Configure and test approval chains (M03)</t>
  </si>
  <si>
    <t xml:space="preserve">Confirm owners, current-state ratings and waves (M04)</t>
  </si>
  <si>
    <t xml:space="preserve">Discover: find current documents and rate gaps</t>
  </si>
  <si>
    <t xml:space="preserve">Draft global text in the standard template</t>
  </si>
  <si>
    <t xml:space="preserve">Draft country addenda and arrange translation</t>
  </si>
  <si>
    <t xml:space="preserve">Legal review and local counsel engagement</t>
  </si>
  <si>
    <t xml:space="preserve">Employee-representative consultation and local filings</t>
  </si>
  <si>
    <t xml:space="preserve">Final approval of global policies and effective dates</t>
  </si>
  <si>
    <t xml:space="preserve">Publish approval of process documents (Head of HR Operations)</t>
  </si>
  <si>
    <t xml:space="preserve">Sign-off of legal obligation evidence</t>
  </si>
  <si>
    <t xml:space="preserve">Approval of public-company and semiconductor controls (General Counsel or delegate)</t>
  </si>
  <si>
    <t xml:space="preserve">Publish, communicate and mark items live</t>
  </si>
  <si>
    <t xml:space="preserve">Communications calendar, manager toolkits and training</t>
  </si>
  <si>
    <t xml:space="preserve">Global attestation campaign (M15)</t>
  </si>
  <si>
    <t xml:space="preserve">Approve change requests outside PMO tolerance</t>
  </si>
  <si>
    <t xml:space="preserve">Audit readiness review (M16)</t>
  </si>
  <si>
    <t xml:space="preserve">Handover to business as usual (M17)</t>
  </si>
  <si>
    <t xml:space="preserve">Close-out report and lessons learned (M18)</t>
  </si>
  <si>
    <t xml:space="preserve">Chain</t>
  </si>
  <si>
    <t xml:space="preserve">Applies to</t>
  </si>
  <si>
    <t xml:space="preserve">Step</t>
  </si>
  <si>
    <t xml:space="preserve">Step name</t>
  </si>
  <si>
    <t xml:space="preserve">Role</t>
  </si>
  <si>
    <t xml:space="preserve">Must sign</t>
  </si>
  <si>
    <t xml:space="preserve">Optional</t>
  </si>
  <si>
    <t xml:space="preserve">Guidance</t>
  </si>
  <si>
    <t xml:space="preserve">Named approvers</t>
  </si>
  <si>
    <t xml:space="preserve">Global policy</t>
  </si>
  <si>
    <t xml:space="preserve">Policies</t>
  </si>
  <si>
    <t xml:space="preserve">Owner sign-off</t>
  </si>
  <si>
    <t xml:space="preserve">Policy owner</t>
  </si>
  <si>
    <t xml:space="preserve">Any</t>
  </si>
  <si>
    <t xml:space="preserve">No</t>
  </si>
  <si>
    <t xml:space="preserve">Confirms the draft is complete, uses the standard template and has every country addendum.</t>
  </si>
  <si>
    <t xml:space="preserve">Workstream review</t>
  </si>
  <si>
    <t xml:space="preserve">Workstream lead</t>
  </si>
  <si>
    <t xml:space="preserve">Checks consistency with related policies and processes.</t>
  </si>
  <si>
    <t xml:space="preserve">Legal review</t>
  </si>
  <si>
    <t xml:space="preserve">Confirms legal requirements are met in every jurisdiction; engages local counsel where needed.</t>
  </si>
  <si>
    <t xml:space="preserve">Regional HR review</t>
  </si>
  <si>
    <t xml:space="preserve">All</t>
  </si>
  <si>
    <t xml:space="preserve">Each region confirms the addenda are workable and flags consultation or filing needs.</t>
  </si>
  <si>
    <t xml:space="preserve">Employee representative consultation</t>
  </si>
  <si>
    <t xml:space="preserve">Country HR lead</t>
  </si>
  <si>
    <t xml:space="preserve">Yes</t>
  </si>
  <si>
    <t xml:space="preserve">Required where works councils or employee representatives have rights (Germany, China, Vietnam, Taiwan filings). Record the outcome; skip with a note where not needed.</t>
  </si>
  <si>
    <t xml:space="preserve">Final approval</t>
  </si>
  <si>
    <t xml:space="preserve">Approves publication and the effective date.</t>
  </si>
  <si>
    <t xml:space="preserve">Process document</t>
  </si>
  <si>
    <t xml:space="preserve">Processes</t>
  </si>
  <si>
    <t xml:space="preserve">Process owner sign-off</t>
  </si>
  <si>
    <t xml:space="preserve">Process owner</t>
  </si>
  <si>
    <t xml:space="preserve">Confirms the flow matches how work is actually done, including exceptions.</t>
  </si>
  <si>
    <t xml:space="preserve">Checks hand-offs with other processes and the governing policy.</t>
  </si>
  <si>
    <t xml:space="preserve">Control review</t>
  </si>
  <si>
    <t xml:space="preserve">Internal Audit or SOX PMO</t>
  </si>
  <si>
    <t xml:space="preserve">Required when the process contains a key or SOX-relevant control.</t>
  </si>
  <si>
    <t xml:space="preserve">Publish approval</t>
  </si>
  <si>
    <t xml:space="preserve">Head of HR Operations</t>
  </si>
  <si>
    <t xml:space="preserve">Approves publication and confirms systems and training are ready.</t>
  </si>
  <si>
    <t xml:space="preserve">Legal obligation</t>
  </si>
  <si>
    <t xml:space="preserve">Filings, notices, programs, trainings, records and committees</t>
  </si>
  <si>
    <t xml:space="preserve">Confirms the obligation is met and evidence is filed.</t>
  </si>
  <si>
    <t xml:space="preserve">Legal and compliance review</t>
  </si>
  <si>
    <t xml:space="preserve">Employment counsel or Compliance</t>
  </si>
  <si>
    <t xml:space="preserve">Confirms the evidence satisfies the requirement and the next due date is set.</t>
  </si>
  <si>
    <t xml:space="preserve">Country HR confirmation</t>
  </si>
  <si>
    <t xml:space="preserve">Confirms local completion, language and posting or filing.</t>
  </si>
  <si>
    <t xml:space="preserve">Public company and semiconductor control</t>
  </si>
  <si>
    <t xml:space="preserve">Public-company and semiconductor items</t>
  </si>
  <si>
    <t xml:space="preserve">Control owner</t>
  </si>
  <si>
    <t xml:space="preserve">Confirms design and evidence.</t>
  </si>
  <si>
    <t xml:space="preserve">Compliance review</t>
  </si>
  <si>
    <t xml:space="preserve">SOX PMO or Trade Compliance</t>
  </si>
  <si>
    <t xml:space="preserve">Confirms the control is designed effectively and testable.</t>
  </si>
  <si>
    <t xml:space="preserve">Executive approval</t>
  </si>
  <si>
    <t xml:space="preserve">General Counsel or delegate</t>
  </si>
  <si>
    <t xml:space="preserve">Approves for audit and disclosure purposes.</t>
  </si>
  <si>
    <t xml:space="preserve">Project document</t>
  </si>
  <si>
    <t xml:space="preserve">Charter, plan and change requests</t>
  </si>
  <si>
    <t xml:space="preserve">PMO review</t>
  </si>
  <si>
    <t xml:space="preserve">Confirms the document is complete and consistent with the plan.</t>
  </si>
  <si>
    <t xml:space="preserve">Steering committee</t>
  </si>
  <si>
    <t xml:space="preserve">Steering committee members</t>
  </si>
  <si>
    <t xml:space="preserve">Any steering committee member may record the committee's decision.</t>
  </si>
  <si>
    <t xml:space="preserve">Sponsor approval</t>
  </si>
  <si>
    <t xml:space="preserve">Final approval.</t>
  </si>
  <si>
    <t xml:space="preserve">Jurisdiction</t>
  </si>
  <si>
    <t xml:space="preserve">Consultation</t>
  </si>
  <si>
    <t xml:space="preserve">Filing or registration</t>
  </si>
  <si>
    <t xml:space="preserve">Language</t>
  </si>
  <si>
    <t xml:space="preserve">Lead time</t>
  </si>
  <si>
    <t xml:space="preserve">Verify</t>
  </si>
  <si>
    <t xml:space="preserve">United States — Federal (+ multi-state)</t>
  </si>
  <si>
    <t xml:space="preserve">None required: there are no works councils. Check every handbook rule against NLRA Section 7: under Stericycle (still binding), confidentiality, social media, recording, civility and media-contact rules must be narrowly tailored with a savings clause, whether or not a union exists.</t>
  </si>
  <si>
    <t xml:space="preserve">None for HR policies. Separate public-company duties: the Code of conduct must be publicly available with executive waivers disclosed (Nasdaq), and insider trading policies are filed with SEC reports or their absence explained.</t>
  </si>
  <si>
    <t xml:space="preserve">English. No federal language mandate for handbooks; English-only rules need business necessity. State rules decide translated notices.</t>
  </si>
  <si>
    <t xml:space="preserve">1 to 2 weeks after final approval to publish, set up acknowledgment and brief managers. No statutory waiting period.</t>
  </si>
  <si>
    <t xml:space="preserve">Federal floor only; the work state drives most addenda. Where a handbook exists it must describe FMLA rights (50+ employees). Evidence is the handbook acknowledgment with state addenda.</t>
  </si>
  <si>
    <t xml:space="preserve">California</t>
  </si>
  <si>
    <t xml:space="preserve">None (NLRA only, no works councils). The Workplace Violence Prevention Plan must be developed with employee involvement. The SB 399 captive-audience ban is preliminarily enjoined.</t>
  </si>
  <si>
    <t xml:space="preserve">None for HR policies. The annual CRD pay data report (100+ employees, due the second Wednesday of May) is a separate obligation.</t>
  </si>
  <si>
    <t xml:space="preserve">Translate EEO and harassment policies into any language spoken by 10% or more of a facility's workforce (2 CCR 11023); Spanish is the likely trigger at some sites, depending on site workforce data (verify). Give the LC 2810.5 notice in the language normally used with the employee and the SB 294 notice in the employee's usual work language where a state template exists.</t>
  </si>
  <si>
    <t xml:space="preserve">2 to 4 weeks, mainly for translation and acknowledgment. The Workplace Know Your Rights notice is due at hire and by 1 Feb each year.</t>
  </si>
  <si>
    <t xml:space="preserve">Handbooks must describe CFRA and PDL rights (5+ employees). No non-competes or non-California law or forum clauses. Watch CCPA automated decision-making duties from 1 Jan 2027 and SB 947 (operative 1 Jul 2027 if signed).</t>
  </si>
  <si>
    <t xml:space="preserve">Colorado</t>
  </si>
  <si>
    <t xml:space="preserve">None (NLRA only, no works councils).</t>
  </si>
  <si>
    <t xml:space="preserve">None for HR policies. State EEO-1 filing rules (HB 26-1207) are expected late 2026, with a first filing in 2027.</t>
  </si>
  <si>
    <t xml:space="preserve">Paid sick leave (HFWA) notice in English and any language spoken by 5% or more of the workforce; FAMLI notices in English and Spanish.</t>
  </si>
  <si>
    <t xml:space="preserve">2 to 3 weeks, mainly for Spanish and other translations. Refresh COMPS and PAY CALC figures in the Colorado addendum each 1 January.</t>
  </si>
  <si>
    <t xml:space="preserve">Colorado addenda cover the POWR Act harassment program and complaint repository, job posting and promotion notices, biometric and data-disposal policies. SB 26-189 AI notices apply from 1 Jan 2027 to tools that materially influence employment decisions.</t>
  </si>
  <si>
    <t xml:space="preserve">North Carolina</t>
  </si>
  <si>
    <t xml:space="preserve">None. Right-to-work state; the NLRA governs and there are no consultation duties.</t>
  </si>
  <si>
    <t xml:space="preserve">None for HR policies.</t>
  </si>
  <si>
    <t xml:space="preserve">No statutory language requirement. NCDOL publishes Spanish posters; giving wage notices in a language the employee understands is best practice.</t>
  </si>
  <si>
    <t xml:space="preserve">Wage-related policies (PTO, bonus, commission, deductions) must be given to employees in writing or posted before they can be enforced, and any change that reduces wages or wage benefits needs written notice at least one full pay period ahead. Plan 2 to 3 weeks.</t>
  </si>
  <si>
    <t xml:space="preserve">State vacation forfeiture terms in writing. NC session laws often take effect on 1 Jul, 1 Oct or 1 Dec.</t>
  </si>
  <si>
    <t xml:space="preserve">Texas</t>
  </si>
  <si>
    <t xml:space="preserve">Workers' compensation coverage notices posted in English, Spanish and any other language common to the workforce. Deduction authorizations and policies in a language the employee understands.</t>
  </si>
  <si>
    <t xml:space="preserve">1 to 2 weeks. Vacation, holiday, sick and severance pay are owed only under a written agreement or policy, so publish the policy before relying on its terms.</t>
  </si>
  <si>
    <t xml:space="preserve">Texas addenda cover the Payday Law, CUBI biometric notice, firearms in parking areas and the ban on COVID-19 vaccine mandates. The 2027 regular session runs Jan to Jun, and most new laws take effect 1 Sep 2027, inside Wave 4.</t>
  </si>
  <si>
    <t xml:space="preserve">Washington State</t>
  </si>
  <si>
    <t xml:space="preserve">None (NLRA, no works councils). Mandatory meetings on unionization are banned (RCW 49.44.250). Locations with 11+ employees on the same shift need an elected safety committee; involve it in Accident Prevention Program changes.</t>
  </si>
  <si>
    <t xml:space="preserve">No translation mandate for contracts or handbooks. I-9 inspection notices (from 1 Oct 2026) go out in English and the five most common other languages in Washington.</t>
  </si>
  <si>
    <t xml:space="preserve">1 to 2 weeks. New laws usually take effect about 90 days after the session and rates change each 1 January; the noncompete ban starts 30 June 2027.</t>
  </si>
  <si>
    <t xml:space="preserve">Seattle addenda cover Paid Sick and Safe Time, SMC 14.04 protected classes and the commuter benefit. Agreements need Silenced No More carve-outs.</t>
  </si>
  <si>
    <t xml:space="preserve">Canada: Toronto (Ontario) and Vancouver (British Columbia)</t>
  </si>
  <si>
    <t xml:space="preserve">None outside unionized workplaces. The Ontario workplace harassment program is developed with the joint health and safety committee or representative (JHSC at 20+ workers); BC has a joint committee at 20+ workers.</t>
  </si>
  <si>
    <t xml:space="preserve">English for Ontario and BC. French only if there are Quebec-based employees, including remote staff: then contracts, policies and written communications must be in French (Bill 96), and 25+ Quebec employees triggers OQLF registration.</t>
  </si>
  <si>
    <t xml:space="preserve">Ontario employers with 25+ employees on 1 Jan need disconnecting-from-work and electronic monitoring policies by 1 March, with copies to employees within 30 days. Harassment, violence and health and safety policies are posted and reviewed annually. Plan 3 to 5 weeks.</t>
  </si>
  <si>
    <t xml:space="preserve">Toronto and Vancouver addenda. AODA accessibility policies must be documented at 50+ employees. BC requires a bullying and harassment policy with reporting and investigation procedures.</t>
  </si>
  <si>
    <t xml:space="preserve">Germany (with EU layer)</t>
  </si>
  <si>
    <t xml:space="preserve">Where a works council exists (possible at 5+ employees), policies on conduct rules, working time, IT and monitoring tools (including the HRIS, M365 and DLP), pay and bonus principles, mobile work and health protection must be adopted as works agreements (BetrVG §§77, 87(1) nos.1, 2, 3, 6, 10, 11, 14), not unilaterally. The council can enjoin a unilateral rollout, and disputes go to the Einigungsstelle.</t>
  </si>
  <si>
    <t xml:space="preserve">None with an authority for HR policies. Works agreements must be made available to staff (§77(2) BetrVG), and statutory postings (ArbZG, AGG with the complaint office) go on the intranet or in the workplace.</t>
  </si>
  <si>
    <t xml:space="preserve">German or bilingual versions of core policies for employees who are not fluent in English. Works agreements and works council communications are in German.</t>
  </si>
  <si>
    <t xml:space="preserve">Where a works agreement is needed, plan 8 to 16 weeks from opening consultation to signature (planning estimate), and longer if the Einigungsstelle is called. Otherwise 2 to 4 weeks for German translation. Wave 1 consultations start by 29 Jan 2027 (M07).</t>
  </si>
  <si>
    <t xml:space="preserve">Confirm in Mobilize whether a works council exists at each establishment. Works agreements must meet GDPR in full (CJEU C-65/23; BAG 2025 Workday damages). German pay transparency law missed the 7 June 2026 deadline, with a bill expected early 2027; AI Act employment duties apply from 2 Dec 2027.</t>
  </si>
  <si>
    <t xml:space="preserve">Israel</t>
  </si>
  <si>
    <t xml:space="preserve">No works councils. Where a collective agreement or representative union applies, policy changes affecting employment conditions must be negotiated. Avoid US-style messaging during any organizing, which courts treat as unlawful interference.</t>
  </si>
  <si>
    <t xml:space="preserve">None for HR policies. The Section 102 equity sub-plan is filed with the Israel Tax Authority at least 30 days before the first grant (separate obligation).</t>
  </si>
  <si>
    <t xml:space="preserve">Hebrew for statutory notices, the sexual harassment prevention bylaw and workplace postings, with Arabic or another language where employees need it. English policies are valid if understood, but publish Hebrew versions of core policies.</t>
  </si>
  <si>
    <t xml:space="preserve">3 to 5 weeks for Hebrew translation, posting and distribution; longer where a collective agreement requires negotiation. Avoid launch dates on Jewish holidays and Fridays.</t>
  </si>
  <si>
    <t xml:space="preserve">Employers with 25+ employees must adopt a sexual harassment prevention bylaw based on the regulations' template, post it and give it to employees; every employer appoints a trained commissioner. Monitoring needs a written policy communicated in advance. The discipline policy needs a pre-dismissal hearing step.</t>
  </si>
  <si>
    <t xml:space="preserve">India</t>
  </si>
  <si>
    <t xml:space="preserve">No works council. Standing orders are certified, or the model standing orders adopted, at 300+ workers; the Karnataka IT/ITeS exemption was issued under the repealed 1946 Act and its status under the IR Code is unconfirmed (verify). A Grievance Redressal Committee is needed at 20+ workers and a POSH Internal Committee at 10+ employees.</t>
  </si>
  <si>
    <t xml:space="preserve">POSH annual report to the District Officer. Standing orders certification where 300+ workers and no valid exemption. Units using the Karnataka exemption report suspensions, terminations and other disciplinary actions to the Deputy Labour Commissioner.</t>
  </si>
  <si>
    <t xml:space="preserve">English for policies. Statutory notices and abstracts are displayed in English and the local language (Kannada in Karnataka, Telugu in Telangana), and the POSH policy and Internal Committee details are displayed in both.</t>
  </si>
  <si>
    <t xml:space="preserve">4 to 6 weeks for local-language display and committee updates. Standing orders certification takes longer (verify). Karnataka and Telangana rules under the Codes are still largely in draft.</t>
  </si>
  <si>
    <t xml:space="preserve">The Labour Codes took effect on 21 Nov 2025 and central rules were finalised on 8 May 2026. DPDP notice and consent duties start 13 May 2027, inside Wave 2. Whether engineers are 'workers' or 'employees' decides standing orders, grievance committee and retrenchment coverage.</t>
  </si>
  <si>
    <t xml:space="preserve">Taiwan</t>
  </si>
  <si>
    <t xml:space="preserve">Labor-management meetings must be held at least quarterly with equal numbers of elected employee representatives; their consent is needed for overtime, flexible working hours and shift-rest changes where there is no union.</t>
  </si>
  <si>
    <t xml:space="preserve">With 30+ employees, work rules are submitted to the local labor authority (the Science Park Bureau for Hsinchu Science Park sites) for approval, posted, and refiled on every amendment. Global policies are not enforceable locally unless incorporated into the work rules.</t>
  </si>
  <si>
    <t xml:space="preserve">Traditional Chinese for work rules filed with the authority, notices and labor-management meeting materials. Bilingual policies are recommended; courts and inspectors rely on the Chinese version.</t>
  </si>
  <si>
    <t xml:space="preserve">6 to 10 weeks for translation, the quarterly labor-management meeting where consent is needed and authority review; the authority's review time is not confirmed in the library (verify). Lunar New Year freeze 5 to 14 Feb 2027.</t>
  </si>
  <si>
    <t xml:space="preserve">Sexual harassment and workplace bullying rules (complaint channel at 10+, prevention, complaint and discipline rules at 30+) belong in the work rules. File one consolidated amendment per wave.</t>
  </si>
  <si>
    <t xml:space="preserve">China (Mainland)</t>
  </si>
  <si>
    <t xml:space="preserve">Democratic procedure (Labor Contract Law Art. 4): rules on pay, hours, leave, safety, discipline and training are discussed with the employee congress or all employees, finalised after consultation with the union or employee representatives, and publicised with signed acknowledgment. Without it they cannot support an Art. 39 dismissal.</t>
  </si>
  <si>
    <t xml:space="preserve">No authority filing for the handbook. Special working-hour systems need local HR bureau approval, and the overseas parent's equity plans need SAFE registration before employees participate (separate obligations).</t>
  </si>
  <si>
    <t xml:space="preserve">Bilingual handbook and policies with the Chinese text prevailing; labor bureaus, arbitration commissions and courts work in Chinese.</t>
  </si>
  <si>
    <t xml:space="preserve">6 to 8 weeks per consolidated procedure (planning estimate) for discussion, consultation, publication and acknowledgment. Adopt annual changes before 1 Jan, and hold no meetings during the Lunar New Year freeze (5 to 14 Feb 2027).</t>
  </si>
  <si>
    <t xml:space="preserve">Shanghai and Shenzhen rules differ on sick pay, leave and social insurance. Shanghai sick pay now follows contract or handbook terms after the old notices lapsed on 15 Aug 2026, which makes the sick leave policy a Wave 1 priority. Keep notices, sign-in sheets, comment logs, minutes and acknowledgments as evidence.</t>
  </si>
  <si>
    <t xml:space="preserve">Vietnam</t>
  </si>
  <si>
    <t xml:space="preserve">Consult the grassroots trade union (where one exists) before issuing or changing internal labour regulations (ILR), salary scales, bonus rules and performance criteria; workplace dialogue is also required before ILR changes.</t>
  </si>
  <si>
    <t xml:space="preserve">Employers with 10+ employees register the ILR with the provincial Department of Home Affairs (Hanoi, Ho Chi Minh City) within 10 days of issue. ILR take effect 15 days after the authority receives a complete dossier and must be posted at the workplace; branches in other provinces send the registered ILR to their local authority.</t>
  </si>
  <si>
    <t xml:space="preserve">Vietnamese for ILR, labour contracts, disciplinary minutes and filings. Bilingual versions are allowed for foreign employees, but authorities and courts work from the Vietnamese text.</t>
  </si>
  <si>
    <t xml:space="preserve">6 to 8 weeks: union consultation and dialogue, translation, registration within 10 days of issue and the 15-day period before effect. Tet freeze 5 to 14 Feb 2027.</t>
  </si>
  <si>
    <t xml:space="preserve">Discipline is valid only on grounds in the registered ILR, so fold Code of conduct consequences, the sexual harassment section and secret-protection clauses into the ILR. Add a clause on cross-border HR data flows so the Decree 356 HR-management exemption applies.</t>
  </si>
  <si>
    <t xml:space="preserve">Audience</t>
  </si>
  <si>
    <t xml:space="preserve">Message</t>
  </si>
  <si>
    <t xml:space="preserve">Channel</t>
  </si>
  <si>
    <t xml:space="preserve">C01</t>
  </si>
  <si>
    <t xml:space="preserve">Announce</t>
  </si>
  <si>
    <t xml:space="preserve">Sponsor, workstream leads, regional HR leads, Employment counsel and PMO</t>
  </si>
  <si>
    <t xml:space="preserve">Kickoff: purpose, scope (438 items in 13 jurisdictions), the five waves, roles and the four weeks of Mobilize.</t>
  </si>
  <si>
    <t xml:space="preserve">Kickoff meeting (video, recorded)</t>
  </si>
  <si>
    <t xml:space="preserve">C02</t>
  </si>
  <si>
    <t xml:space="preserve">All HR, Legal, Payroll and People Operations staff</t>
  </si>
  <si>
    <t xml:space="preserve">Project Atlas announced: what it is, why now, how the work runs in waves and what people will be asked to do. Watch V1.</t>
  </si>
  <si>
    <t xml:space="preserve">Email from the Chief People Officer and HR all-hands</t>
  </si>
  <si>
    <t xml:space="preserve">C03</t>
  </si>
  <si>
    <t xml:space="preserve">Item owners</t>
  </si>
  <si>
    <t xml:space="preserve">You are the named owner for these items: confirm ownership, current documents and a backup by 30 Oct. Watch V2.</t>
  </si>
  <si>
    <t xml:space="preserve">Atlas task notification and email</t>
  </si>
  <si>
    <t xml:space="preserve">C04</t>
  </si>
  <si>
    <t xml:space="preserve">Train</t>
  </si>
  <si>
    <t xml:space="preserve">Approvers in all five chains</t>
  </si>
  <si>
    <t xml:space="preserve">Your chain steps, response targets and delegates, and the end-to-end test submission before 30 Oct (M03). Watch V4.</t>
  </si>
  <si>
    <t xml:space="preserve">Approver briefing (video call)</t>
  </si>
  <si>
    <t xml:space="preserve">C05</t>
  </si>
  <si>
    <t xml:space="preserve">Regional and country HR leads</t>
  </si>
  <si>
    <t xml:space="preserve">Country gates: consultation, filing, language and lead time in each jurisdiction, and how they set local effective dates. Watch V5.</t>
  </si>
  <si>
    <t xml:space="preserve">Regional HR calls (Americas, EMEA, APAC)</t>
  </si>
  <si>
    <t xml:space="preserve">C06</t>
  </si>
  <si>
    <t xml:space="preserve">Steering committee, workstream leads and regional HR leads</t>
  </si>
  <si>
    <t xml:space="preserve">Mobilize gate (M04): every item has an owner, a rating and a wave; plan v1.0 is baselined and the Wave 1 list is confirmed.</t>
  </si>
  <si>
    <t xml:space="preserve">Steering committee meeting and status email</t>
  </si>
  <si>
    <t xml:space="preserve">C07</t>
  </si>
  <si>
    <t xml:space="preserve">Wave 1 item owners and SMEs</t>
  </si>
  <si>
    <t xml:space="preserve">Wave 1 starts: Discover workshops over the next two weeks, drafts due 18 Dec. Watch V3.</t>
  </si>
  <si>
    <t xml:space="preserve">Email and Atlas notifications</t>
  </si>
  <si>
    <t xml:space="preserve">C08</t>
  </si>
  <si>
    <t xml:space="preserve">German works council (where one exists)</t>
  </si>
  <si>
    <t xml:space="preserve">Information on the Atlas scope, the Wave 1 items that touch co-determined topics and a proposed timetable for a framework works agreement.</t>
  </si>
  <si>
    <t xml:space="preserve">Works council meeting with a German written summary</t>
  </si>
  <si>
    <t xml:space="preserve">C09</t>
  </si>
  <si>
    <t xml:space="preserve">Remind</t>
  </si>
  <si>
    <t xml:space="preserve">Wave 1 item owners, approvers and Legal reviewers</t>
  </si>
  <si>
    <t xml:space="preserve">Wave 1 drafts are due 18 Dec (M06). The year-end freeze runs 21 Dec to 1 Jan with no approvals or launches; approvals restart on 4 Jan.</t>
  </si>
  <si>
    <t xml:space="preserve">Email and Atlas dashboard</t>
  </si>
  <si>
    <t xml:space="preserve">C10</t>
  </si>
  <si>
    <t xml:space="preserve">Employees and employee representatives in China and Vietnam</t>
  </si>
  <si>
    <t xml:space="preserve">Consultation opens on Wave 1 changes: the China democratic procedure on handbook changes and Vietnam union consultation on internal labour regulations, with bilingual drafts and meeting dates.</t>
  </si>
  <si>
    <t xml:space="preserve">Employee and union meetings with bilingual notices</t>
  </si>
  <si>
    <t xml:space="preserve">C11</t>
  </si>
  <si>
    <t xml:space="preserve">Taiwan labor-management meeting representatives</t>
  </si>
  <si>
    <t xml:space="preserve">Wave 1 items that need labor-management meeting consent (overtime and flexible hours) and the planned work rules amendment filing.</t>
  </si>
  <si>
    <t xml:space="preserve">Labor-management meeting with Traditional Chinese materials</t>
  </si>
  <si>
    <t xml:space="preserve">C12</t>
  </si>
  <si>
    <t xml:space="preserve">All employees</t>
  </si>
  <si>
    <t xml:space="preserve">Coming in February: a refreshed Code of conduct and the first core policies in Atlas, what changes and what you will be asked to acknowledge.</t>
  </si>
  <si>
    <t xml:space="preserve">Intranet news and email</t>
  </si>
  <si>
    <t xml:space="preserve">C13</t>
  </si>
  <si>
    <t xml:space="preserve">People managers</t>
  </si>
  <si>
    <t xml:space="preserve">Wave 1 manager toolkit: what changed, talking points, FAQ by country and how to track your team's acknowledgments.</t>
  </si>
  <si>
    <t xml:space="preserve">Manager toolkit email and 30-minute live briefing</t>
  </si>
  <si>
    <t xml:space="preserve">C14</t>
  </si>
  <si>
    <t xml:space="preserve">Employees in China, Taiwan and Vietnam</t>
  </si>
  <si>
    <t xml:space="preserve">Before Lunar New Year and Tet: Wave 1 policies are approved globally; local effective dates follow consultation, filing and registration and will be posted after the holiday.</t>
  </si>
  <si>
    <t xml:space="preserve">Local email in Chinese and Vietnamese</t>
  </si>
  <si>
    <t xml:space="preserve">C15</t>
  </si>
  <si>
    <t xml:space="preserve">Employees in Israel</t>
  </si>
  <si>
    <t xml:space="preserve">Wave 1 is live in Israel with Hebrew versions, the reissued sexual harassment prevention bylaw and the commissioner's contact details.</t>
  </si>
  <si>
    <t xml:space="preserve">Hebrew and English email, intranet and workplace postings</t>
  </si>
  <si>
    <t xml:space="preserve">C16</t>
  </si>
  <si>
    <t xml:space="preserve">All employees in the US, Canada and India, and in Germany for items outside co-determination</t>
  </si>
  <si>
    <t xml:space="preserve">Wave 1 is live (M08): global policies published with a summary of what changed and the acknowledgment request, due in two weeks. Country-specific items follow on the dates in each addendum.</t>
  </si>
  <si>
    <t xml:space="preserve">Intranet, email and Atlas acknowledgment request</t>
  </si>
  <si>
    <t xml:space="preserve">C17</t>
  </si>
  <si>
    <t xml:space="preserve">Celebrate</t>
  </si>
  <si>
    <t xml:space="preserve">Atlas contributors and steering committee</t>
  </si>
  <si>
    <t xml:space="preserve">Wave 1 done: thanks from the sponsor, results against plan and the invitation to the wave retrospective.</t>
  </si>
  <si>
    <t xml:space="preserve">Email from the Chief People Officer and team call</t>
  </si>
  <si>
    <t xml:space="preserve">C18</t>
  </si>
  <si>
    <t xml:space="preserve">Wave 2 item owners and SMEs</t>
  </si>
  <si>
    <t xml:space="preserve">Wave 2 starts: Discover workshops this week and next, drafts due 9 Apr (M10).</t>
  </si>
  <si>
    <t xml:space="preserve">C19</t>
  </si>
  <si>
    <t xml:space="preserve">Employees in Ontario and British Columbia</t>
  </si>
  <si>
    <t xml:space="preserve">Canada-specific Wave 1 items live: updated Ontario disconnecting-from-work and electronic monitoring policies, harassment and violence policies posted, and the BC bullying and harassment policy.</t>
  </si>
  <si>
    <t xml:space="preserve">Email with policy copies and site postings</t>
  </si>
  <si>
    <t xml:space="preserve">Regional HR lead (Americas)</t>
  </si>
  <si>
    <t xml:space="preserve">C20</t>
  </si>
  <si>
    <t xml:space="preserve">Employees in India (Karnataka and Telangana)</t>
  </si>
  <si>
    <t xml:space="preserve">India-specific Wave 1 items live: POSH policy and Internal Committee details displayed in English and Kannada or Telugu, grievance committee contacts and the updated leave and holiday policy.</t>
  </si>
  <si>
    <t xml:space="preserve">Email, intranet and office notice boards</t>
  </si>
  <si>
    <t xml:space="preserve">Country HR lead, India</t>
  </si>
  <si>
    <t xml:space="preserve">C21</t>
  </si>
  <si>
    <t xml:space="preserve">Wave 1 local launch: China handbook changes published for signed acknowledgment, Vietnam internal labour regulations in effect after registration and posted, Taiwan work rules posted once approved.</t>
  </si>
  <si>
    <t xml:space="preserve">Local all-hands, bilingual notices and workplace postings</t>
  </si>
  <si>
    <t xml:space="preserve">C22</t>
  </si>
  <si>
    <t xml:space="preserve">Wave 2 item owners</t>
  </si>
  <si>
    <t xml:space="preserve">Reminder: Wave 2 drafts are due 9 Apr (M10); items needing translation or consultation should be in Review now.</t>
  </si>
  <si>
    <t xml:space="preserve">C23</t>
  </si>
  <si>
    <t xml:space="preserve">Employees in Germany</t>
  </si>
  <si>
    <t xml:space="preserve">Where a works agreement was needed, co-determined Wave 1 policies (working time recording, IT and monitoring tools, mobile work) take effect on the date agreed with the works council, with German versions.</t>
  </si>
  <si>
    <t xml:space="preserve">German email, intranet and works council notice</t>
  </si>
  <si>
    <t xml:space="preserve">C24</t>
  </si>
  <si>
    <t xml:space="preserve">Wave 2 manager toolkit: core lifecycle processes going live and what changes for hiring, onboarding, leave and pay questions.</t>
  </si>
  <si>
    <t xml:space="preserve">C25</t>
  </si>
  <si>
    <t xml:space="preserve">Wave 2 is live (M11): core lifecycle processes and country addenda published; acknowledgment requested only for changed policies.</t>
  </si>
  <si>
    <t xml:space="preserve">C26</t>
  </si>
  <si>
    <t xml:space="preserve">Wave 3 item owners and SMEs</t>
  </si>
  <si>
    <t xml:space="preserve">Wave 3 starts: the last required items, drafts due 9 Jul (M13). Rewatch V3 for process documents.</t>
  </si>
  <si>
    <t xml:space="preserve">C27</t>
  </si>
  <si>
    <t xml:space="preserve">Wave 3 item owners and approvers</t>
  </si>
  <si>
    <t xml:space="preserve">Reminder: Wave 3 drafts are due 9 Jul and approvals must close by early August for go-live on 13 Aug.</t>
  </si>
  <si>
    <t xml:space="preserve">C28</t>
  </si>
  <si>
    <t xml:space="preserve">Wave 3 manager toolkit: the remaining required policies going live and the plan for the September attestation campaign.</t>
  </si>
  <si>
    <t xml:space="preserve">C29</t>
  </si>
  <si>
    <t xml:space="preserve">All employees, Atlas contributors and steering committee</t>
  </si>
  <si>
    <t xml:space="preserve">Every legal, public-company and semiconductor item is live with evidence (M14): thanks and results.</t>
  </si>
  <si>
    <t xml:space="preserve">Email from the Chief People Officer, intranet story and team celebration</t>
  </si>
  <si>
    <t xml:space="preserve">C30</t>
  </si>
  <si>
    <t xml:space="preserve">Item owners and future business-as-usual owners</t>
  </si>
  <si>
    <t xml:space="preserve">Wave 4 starts: best-practice items, evidence clean-up, audit readiness and handover, and how annual reviews will work.</t>
  </si>
  <si>
    <t xml:space="preserve">Email and owner call</t>
  </si>
  <si>
    <t xml:space="preserve">C31</t>
  </si>
  <si>
    <t xml:space="preserve">All employees, in local languages</t>
  </si>
  <si>
    <t xml:space="preserve">Global attestation campaign (M15): acknowledge the updated Code of conduct and core policies by 24 Sep.</t>
  </si>
  <si>
    <t xml:space="preserve">Attestation tool, email and intranet</t>
  </si>
  <si>
    <t xml:space="preserve">C32</t>
  </si>
  <si>
    <t xml:space="preserve">Employees who have not attested, and their managers</t>
  </si>
  <si>
    <t xml:space="preserve">Reminder: attestation closes 24 Sep; managers have completion dashboards for their teams.</t>
  </si>
  <si>
    <t xml:space="preserve">Email, manager dashboard and HRBP follow-up</t>
  </si>
  <si>
    <t xml:space="preserve">C33</t>
  </si>
  <si>
    <t xml:space="preserve">Business-as-usual owners</t>
  </si>
  <si>
    <t xml:space="preserve">Handover complete (M17): your items, review dates and annual review calendar, and how to raise a change.</t>
  </si>
  <si>
    <t xml:space="preserve">Email and Atlas owner view</t>
  </si>
  <si>
    <t xml:space="preserve">C34</t>
  </si>
  <si>
    <t xml:space="preserve">Atlas contributors, steering committee and HR</t>
  </si>
  <si>
    <t xml:space="preserve">Project close (M18): close-out report, lessons learned and thanks from the sponsor.</t>
  </si>
  <si>
    <t xml:space="preserve">Email from the Chief People Officer and closing call</t>
  </si>
  <si>
    <t xml:space="preserve">Module</t>
  </si>
  <si>
    <t xml:space="preserve">Format</t>
  </si>
  <si>
    <t xml:space="preserve">Length</t>
  </si>
  <si>
    <t xml:space="preserve">Objectives</t>
  </si>
  <si>
    <t xml:space="preserve">Video</t>
  </si>
  <si>
    <t xml:space="preserve">TR1</t>
  </si>
  <si>
    <t xml:space="preserve">Project Atlas orientation</t>
  </si>
  <si>
    <t xml:space="preserve">Everyone working on Atlas: item owners, approvers, workstream leads, regional HR, Legal and PMO</t>
  </si>
  <si>
    <t xml:space="preserve">Self-paced video with a five-question check</t>
  </si>
  <si>
    <t xml:space="preserve">20 minutes</t>
  </si>
  <si>
    <t xml:space="preserve">Explain the goal: 438 items live in 13 jurisdictions by 8 Oct 2027
Name the five stages and the five waves with their dates
Know where to get help and how to raise a risk or issue</t>
  </si>
  <si>
    <t xml:space="preserve">V1</t>
  </si>
  <si>
    <t xml:space="preserve">TR2</t>
  </si>
  <si>
    <t xml:space="preserve">Find and update your items</t>
  </si>
  <si>
    <t xml:space="preserve">Item owners and workstream leads</t>
  </si>
  <si>
    <t xml:space="preserve">Live virtual demo with practice tasks</t>
  </si>
  <si>
    <t xml:space="preserve">45 minutes</t>
  </si>
  <si>
    <t xml:space="preserve">Find your items and filter by wave, workstream and jurisdiction
Update stage, status and current-state rating
Attach evidence and link related items</t>
  </si>
  <si>
    <t xml:space="preserve">V2</t>
  </si>
  <si>
    <t xml:space="preserve">TR3</t>
  </si>
  <si>
    <t xml:space="preserve">Document a process in five steps</t>
  </si>
  <si>
    <t xml:space="preserve">Process owners, SMEs and workstream leads</t>
  </si>
  <si>
    <t xml:space="preserve">Workshop on a real Wave 1 process</t>
  </si>
  <si>
    <t xml:space="preserve">60 minutes</t>
  </si>
  <si>
    <t xml:space="preserve">Map the process as it is actually done, including exceptions
Write steps, controls and a RACI in the standard template
Mark key and SOX-relevant controls for control review</t>
  </si>
  <si>
    <t xml:space="preserve">V3</t>
  </si>
  <si>
    <t xml:space="preserve">TR4</t>
  </si>
  <si>
    <t xml:space="preserve">Write a policy and its country addenda</t>
  </si>
  <si>
    <t xml:space="preserve">Policy owners, workstream leads and regional HR</t>
  </si>
  <si>
    <t xml:space="preserve">Workshop using the policy template (T-POLICY)</t>
  </si>
  <si>
    <t xml:space="preserve">Use the template sections and the plain-English standard
Decide when a country addendum is needed, using the library research
Flag consultation, filing and translation needs before Review</t>
  </si>
  <si>
    <t xml:space="preserve">TR5</t>
  </si>
  <si>
    <t xml:space="preserve">Set up and run an approval chain</t>
  </si>
  <si>
    <t xml:space="preserve">Approvers, workstream leads and Legal reviewers</t>
  </si>
  <si>
    <t xml:space="preserve">Video plus live Q&amp;A</t>
  </si>
  <si>
    <t xml:space="preserve">30 minutes</t>
  </si>
  <si>
    <t xml:space="preserve">Know which chain applies to policies, processes, obligations, controls and project documents
Approve, return or delegate a step and record the reason
Meet the 3-business-day step target and escalate when blocked</t>
  </si>
  <si>
    <t xml:space="preserve">V4</t>
  </si>
  <si>
    <t xml:space="preserve">TR6</t>
  </si>
  <si>
    <t xml:space="preserve">Take a policy live in 13 countries</t>
  </si>
  <si>
    <t xml:space="preserve">Regional HR leads, country HR leads and Legal reviewers</t>
  </si>
  <si>
    <t xml:space="preserve">Live session run by region (Americas, EMEA, APAC)</t>
  </si>
  <si>
    <t xml:space="preserve">90 minutes</t>
  </si>
  <si>
    <t xml:space="preserve">Apply each jurisdiction's gate: consultation, filing, language and lead time
Plan local effective dates around consultation, registration and holiday freezes
File consultation minutes, filing receipts and translations as evidence</t>
  </si>
  <si>
    <t xml:space="preserve">V5</t>
  </si>
  <si>
    <t xml:space="preserve">TR7</t>
  </si>
  <si>
    <t xml:space="preserve">Legal review in Atlas</t>
  </si>
  <si>
    <t xml:space="preserve">Employment counsel and local counsel</t>
  </si>
  <si>
    <t xml:space="preserve">Live virtual session</t>
  </si>
  <si>
    <t xml:space="preserve">Work the review queue by tier and target time
Use the clause library, including the NLRA savings clause and whistleblower carve-outs
Record legal sign-off and the next review date</t>
  </si>
  <si>
    <t xml:space="preserve">TR8</t>
  </si>
  <si>
    <t xml:space="preserve">Running a workstream</t>
  </si>
  <si>
    <t xml:space="preserve">Workstream leads and PMO</t>
  </si>
  <si>
    <t xml:space="preserve">Live workshop</t>
  </si>
  <si>
    <t xml:space="preserve">2 hours</t>
  </si>
  <si>
    <t xml:space="preserve">Plan items across waves and stages and keep dates current
Log risks, issues and decisions and escalate on triggers
Prepare weekly status and steering committee inputs</t>
  </si>
  <si>
    <t xml:space="preserve">TR9</t>
  </si>
  <si>
    <t xml:space="preserve">Explaining policy changes to your team</t>
  </si>
  <si>
    <t xml:space="preserve">Live briefing, recorded, with a one-page toolkit</t>
  </si>
  <si>
    <t xml:space="preserve">30 minutes per wave</t>
  </si>
  <si>
    <t xml:space="preserve">Explain what changed this wave and why
Answer common questions and know where to send the rest
Track your team's acknowledgments</t>
  </si>
  <si>
    <t xml:space="preserve">TR10</t>
  </si>
  <si>
    <t xml:space="preserve">Your policies and how to acknowledge them</t>
  </si>
  <si>
    <t xml:space="preserve">Micro-learning in local languages, linked from the acknowledgment request</t>
  </si>
  <si>
    <t xml:space="preserve">10 minutes</t>
  </si>
  <si>
    <t xml:space="preserve">Find the Code of conduct and core policies in Atlas
Understand what an acknowledgment means and when it is due
Know how to ask a question or raise a concern, including through the speak-up hotline</t>
  </si>
  <si>
    <t xml:space="preserve">TR11</t>
  </si>
  <si>
    <t xml:space="preserve">Evidence, audit readiness and handover</t>
  </si>
  <si>
    <t xml:space="preserve">Item owners, control owners and PMO</t>
  </si>
  <si>
    <t xml:space="preserve">Live virtual session with an evidence checklist</t>
  </si>
  <si>
    <t xml:space="preserve">Know what evidence closes each stage
Prepare for the Internal Audit sample on 24 Sep 2027
Set the owner, review date and annual review slot for business as usual</t>
  </si>
</sst>
</file>

<file path=xl/styles.xml><?xml version="1.0" encoding="utf-8"?>
<styleSheet xmlns="http://schemas.openxmlformats.org/spreadsheetml/2006/main">
  <numFmts count="4">
    <numFmt numFmtId="164" formatCode="General"/>
    <numFmt numFmtId="165" formatCode="General"/>
    <numFmt numFmtId="166" formatCode="0.0%"/>
    <numFmt numFmtId="167" formatCode="d\ mmm\ yyyy"/>
  </numFmts>
  <fonts count="12">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1"/>
      <color rgb="FF666666"/>
      <name val="Arial"/>
      <family val="0"/>
      <charset val="1"/>
    </font>
    <font>
      <sz val="10"/>
      <name val="Arial"/>
      <family val="0"/>
      <charset val="1"/>
    </font>
    <font>
      <b val="true"/>
      <sz val="10"/>
      <name val="Arial"/>
      <family val="0"/>
      <charset val="1"/>
    </font>
    <font>
      <sz val="10"/>
      <color rgb="FF666666"/>
      <name val="Arial"/>
      <family val="0"/>
      <charset val="1"/>
    </font>
    <font>
      <b val="true"/>
      <sz val="12"/>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E3A6E"/>
        <bgColor rgb="FF333399"/>
      </patternFill>
    </fill>
    <fill>
      <patternFill patternType="solid">
        <fgColor rgb="FFFFF6C8"/>
        <bgColor rgb="FFFDE2E2"/>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center" textRotation="0" wrapText="tru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7" fontId="6" fillId="0" borderId="1" xfId="0" applyFont="true" applyBorder="true" applyAlignment="true" applyProtection="false">
      <alignment horizontal="general" vertical="top" textRotation="0" wrapText="false" indent="0" shrinkToFit="false"/>
      <protection locked="true" hidden="false"/>
    </xf>
    <xf numFmtId="167" fontId="6" fillId="3"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E3A6E"/>
          <bgColor rgb="FF000000"/>
        </patternFill>
      </fill>
    </dxf>
    <dxf>
      <fill>
        <patternFill patternType="solid">
          <bgColor rgb="FF000000"/>
        </patternFill>
      </fill>
    </dxf>
    <dxf>
      <fill>
        <patternFill patternType="solid">
          <fgColor rgb="FFFFFFFF"/>
          <bgColor rgb="FF000000"/>
        </patternFill>
      </fill>
    </dxf>
    <dxf>
      <fill>
        <patternFill patternType="solid">
          <fgColor rgb="FFFFF6C8"/>
          <bgColor rgb="FF000000"/>
        </patternFill>
      </fill>
    </dxf>
    <dxf>
      <fill>
        <patternFill>
          <bgColor rgb="FFFDE2E2"/>
        </patternFill>
      </fill>
    </dxf>
    <dxf>
      <font>
        <name val="Arial"/>
        <charset val="1"/>
        <family val="0"/>
        <b val="1"/>
        <color rgb="FF1F6B43"/>
      </font>
    </dxf>
    <dxf>
      <font>
        <name val="Arial"/>
        <charset val="1"/>
        <family val="0"/>
        <b val="1"/>
        <color rgb="FF3C8C5E"/>
      </font>
    </dxf>
    <dxf>
      <font>
        <name val="Arial"/>
        <charset val="1"/>
        <family val="0"/>
        <b val="1"/>
        <color rgb="FF6F8FC7"/>
      </font>
    </dxf>
    <dxf>
      <font>
        <name val="Arial"/>
        <charset val="1"/>
        <family val="0"/>
        <b val="1"/>
        <color rgb="FFD9A441"/>
      </font>
    </dxf>
    <dxf>
      <fill>
        <patternFill patternType="solid">
          <fgColor rgb="FFF8C9C4"/>
          <bgColor rgb="FF000000"/>
        </patternFill>
      </fill>
    </dxf>
    <dxf>
      <fill>
        <patternFill>
          <bgColor rgb="FFF8C9C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B43"/>
      <rgbColor rgb="FFC0C0C0"/>
      <rgbColor rgb="FF808080"/>
      <rgbColor rgb="FF9999FF"/>
      <rgbColor rgb="FF993366"/>
      <rgbColor rgb="FFFFF6C8"/>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DE2E2"/>
      <rgbColor rgb="FF99CCFF"/>
      <rgbColor rgb="FFFF99CC"/>
      <rgbColor rgb="FFCC99FF"/>
      <rgbColor rgb="FFF8C9C4"/>
      <rgbColor rgb="FF3366FF"/>
      <rgbColor rgb="FF33CCCC"/>
      <rgbColor rgb="FF99CC00"/>
      <rgbColor rgb="FFFFCC00"/>
      <rgbColor rgb="FFD9A441"/>
      <rgbColor rgb="FFFF6600"/>
      <rgbColor rgb="FF666666"/>
      <rgbColor rgb="FF6F8FC7"/>
      <rgbColor rgb="FF1E3A6E"/>
      <rgbColor rgb="FF3C8C5E"/>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3" t="s">
        <v>2</v>
      </c>
    </row>
    <row r="5" customFormat="false" ht="15" hidden="false" customHeight="false" outlineLevel="0" collapsed="false">
      <c r="A5" s="3" t="s">
        <v>3</v>
      </c>
    </row>
    <row r="6" customFormat="false" ht="15" hidden="false" customHeight="false" outlineLevel="0" collapsed="false">
      <c r="A6" s="3"/>
    </row>
    <row r="7" customFormat="false" ht="15" hidden="false" customHeight="false" outlineLevel="0" collapsed="false">
      <c r="A7" s="4" t="s">
        <v>4</v>
      </c>
    </row>
    <row r="8" customFormat="false" ht="15" hidden="false" customHeight="false" outlineLevel="0" collapsed="false">
      <c r="A8" s="3" t="s">
        <v>5</v>
      </c>
    </row>
    <row r="9" customFormat="false" ht="15" hidden="false" customHeight="false" outlineLevel="0" collapsed="false">
      <c r="A9" s="3" t="s">
        <v>6</v>
      </c>
    </row>
    <row r="10" customFormat="false" ht="15" hidden="false" customHeight="false" outlineLevel="0" collapsed="false">
      <c r="A10" s="3" t="s">
        <v>7</v>
      </c>
    </row>
    <row r="11" customFormat="false" ht="15" hidden="false" customHeight="false" outlineLevel="0" collapsed="false">
      <c r="A11" s="3" t="s">
        <v>8</v>
      </c>
    </row>
    <row r="12" customFormat="false" ht="15" hidden="false" customHeight="false" outlineLevel="0" collapsed="false">
      <c r="A12" s="3" t="s">
        <v>9</v>
      </c>
    </row>
    <row r="13" customFormat="false" ht="15" hidden="false" customHeight="false" outlineLevel="0" collapsed="false">
      <c r="A13" s="3"/>
    </row>
    <row r="14" customFormat="false" ht="15" hidden="false" customHeight="false" outlineLevel="0" collapsed="false">
      <c r="A14" s="4" t="s">
        <v>10</v>
      </c>
    </row>
    <row r="15" customFormat="false" ht="15" hidden="false" customHeight="false" outlineLevel="0" collapsed="false">
      <c r="A15" s="3" t="s">
        <v>11</v>
      </c>
    </row>
    <row r="16" customFormat="false" ht="23.85" hidden="false" customHeight="false" outlineLevel="0" collapsed="false">
      <c r="A16" s="3" t="s">
        <v>12</v>
      </c>
    </row>
    <row r="17" customFormat="false" ht="15" hidden="false" customHeight="false" outlineLevel="0" collapsed="false">
      <c r="A17" s="3" t="s">
        <v>13</v>
      </c>
    </row>
    <row r="18" customFormat="false" ht="15" hidden="false" customHeight="false" outlineLevel="0" collapsed="false">
      <c r="A18" s="3" t="s">
        <v>14</v>
      </c>
    </row>
    <row r="19" customFormat="false" ht="15" hidden="false" customHeight="false" outlineLevel="0" collapsed="false">
      <c r="A19" s="3" t="s">
        <v>15</v>
      </c>
    </row>
    <row r="20" customFormat="false" ht="15" hidden="false" customHeight="false" outlineLevel="0" collapsed="false">
      <c r="A20" s="3"/>
    </row>
    <row r="21" customFormat="false" ht="15" hidden="false" customHeight="false" outlineLevel="0" collapsed="false">
      <c r="A21" s="4" t="s">
        <v>16</v>
      </c>
    </row>
    <row r="22" customFormat="false" ht="23.85" hidden="false" customHeight="false" outlineLevel="0" collapsed="false">
      <c r="A22" s="3"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1" min="2" style="0" width="12"/>
  </cols>
  <sheetData>
    <row r="1" customFormat="false" ht="19.7" hidden="false" customHeight="false" outlineLevel="0" collapsed="false">
      <c r="A1" s="5" t="s">
        <v>18</v>
      </c>
    </row>
    <row r="2" customFormat="false" ht="15" hidden="false" customHeight="false" outlineLevel="0" collapsed="false">
      <c r="A2" s="6" t="s">
        <v>19</v>
      </c>
    </row>
    <row r="4" customFormat="false" ht="15" hidden="false" customHeight="false" outlineLevel="0" collapsed="false">
      <c r="A4" s="7" t="s">
        <v>20</v>
      </c>
      <c r="B4" s="8" t="n">
        <f aca="false">COUNTA(Plan!$A$2:$A$439)</f>
        <v>438</v>
      </c>
    </row>
    <row r="5" customFormat="false" ht="15" hidden="false" customHeight="false" outlineLevel="0" collapsed="false">
      <c r="A5" s="7" t="s">
        <v>21</v>
      </c>
      <c r="B5" s="8" t="n">
        <f aca="false">COUNTIF(Plan!$P$2:$P$439,"Approved")+COUNTIF(Plan!$P$2:$P$439,"Live")+COUNTIF(Plan!$P$2:$P$439,"Not applicable")</f>
        <v>0</v>
      </c>
    </row>
    <row r="6" customFormat="false" ht="15" hidden="false" customHeight="false" outlineLevel="0" collapsed="false">
      <c r="A6" s="7" t="s">
        <v>22</v>
      </c>
      <c r="B6" s="9" t="n">
        <f aca="false">IF(B4=0,0,B5/B4)</f>
        <v>0</v>
      </c>
    </row>
    <row r="7" customFormat="false" ht="15" hidden="false" customHeight="false" outlineLevel="0" collapsed="false">
      <c r="A7" s="7" t="s">
        <v>23</v>
      </c>
      <c r="B7" s="8" t="n">
        <f aca="false">COUNTIF(Plan!$S$2:$S$439,"Overdue")</f>
        <v>0</v>
      </c>
    </row>
    <row r="8" customFormat="false" ht="15" hidden="false" customHeight="false" outlineLevel="0" collapsed="false">
      <c r="A8" s="7" t="s">
        <v>24</v>
      </c>
      <c r="B8" s="8" t="n">
        <f aca="true">COUNTIF(Plan!$O$2:$O$439,"&lt;"&amp;TODAY())</f>
        <v>0</v>
      </c>
    </row>
    <row r="9" customFormat="false" ht="15" hidden="false" customHeight="false" outlineLevel="0" collapsed="false">
      <c r="A9" s="7" t="s">
        <v>25</v>
      </c>
      <c r="B9" s="9" t="n">
        <f aca="false">IF(B8=0,0,B7/B8)</f>
        <v>0</v>
      </c>
    </row>
    <row r="10" customFormat="false" ht="15" hidden="false" customHeight="false" outlineLevel="0" collapsed="false">
      <c r="A10" s="7" t="s">
        <v>26</v>
      </c>
      <c r="B10" s="8" t="str">
        <f aca="false">IF(B9&gt;=0.15,"Red",IF(B9&gt;=0.05,"Amber","Green"))</f>
        <v>Green</v>
      </c>
    </row>
    <row r="11" customFormat="false" ht="135.8" hidden="false" customHeight="false" outlineLevel="0" collapsed="false">
      <c r="A11" s="7" t="s">
        <v>27</v>
      </c>
      <c r="B11" s="10" t="s">
        <v>28</v>
      </c>
    </row>
    <row r="13" customFormat="false" ht="15" hidden="false" customHeight="false" outlineLevel="0" collapsed="false">
      <c r="A13" s="11" t="s">
        <v>29</v>
      </c>
    </row>
    <row r="14" customFormat="false" ht="23.85" hidden="false" customHeight="false" outlineLevel="0" collapsed="false">
      <c r="A14" s="12" t="s">
        <v>30</v>
      </c>
      <c r="B14" s="12" t="s">
        <v>31</v>
      </c>
      <c r="C14" s="12" t="s">
        <v>32</v>
      </c>
      <c r="D14" s="12" t="s">
        <v>33</v>
      </c>
      <c r="E14" s="12" t="s">
        <v>34</v>
      </c>
      <c r="F14" s="12" t="s">
        <v>35</v>
      </c>
      <c r="G14" s="12" t="s">
        <v>36</v>
      </c>
      <c r="H14" s="12" t="s">
        <v>37</v>
      </c>
      <c r="I14" s="12" t="s">
        <v>38</v>
      </c>
      <c r="J14" s="12" t="s">
        <v>39</v>
      </c>
      <c r="K14" s="12" t="s">
        <v>23</v>
      </c>
    </row>
    <row r="15" customFormat="false" ht="15" hidden="false" customHeight="false" outlineLevel="0" collapsed="false">
      <c r="A15" s="8" t="s">
        <v>40</v>
      </c>
      <c r="B15" s="8" t="n">
        <f aca="false">COUNTIFS(Plan!$G$2:$G$439,$A15,Plan!$P$2:$P$439,"Not started")</f>
        <v>170</v>
      </c>
      <c r="C15" s="8" t="n">
        <f aca="false">COUNTIFS(Plan!$G$2:$G$439,$A15,Plan!$P$2:$P$439,"Drafting")</f>
        <v>0</v>
      </c>
      <c r="D15" s="8" t="n">
        <f aca="false">COUNTIFS(Plan!$G$2:$G$439,$A15,Plan!$P$2:$P$439,"In review")</f>
        <v>0</v>
      </c>
      <c r="E15" s="8" t="n">
        <f aca="false">COUNTIFS(Plan!$G$2:$G$439,$A15,Plan!$P$2:$P$439,"Approved")</f>
        <v>0</v>
      </c>
      <c r="F15" s="8" t="n">
        <f aca="false">COUNTIFS(Plan!$G$2:$G$439,$A15,Plan!$P$2:$P$439,"Live")</f>
        <v>0</v>
      </c>
      <c r="G15" s="8" t="n">
        <f aca="false">COUNTIFS(Plan!$G$2:$G$439,$A15,Plan!$P$2:$P$439,"Not applicable")</f>
        <v>0</v>
      </c>
      <c r="H15" s="7" t="n">
        <f aca="false">SUM(B15:G15)</f>
        <v>170</v>
      </c>
      <c r="I15" s="8" t="n">
        <f aca="false">E15+F15+G15</f>
        <v>0</v>
      </c>
      <c r="J15" s="9" t="n">
        <f aca="false">IF(H15=0,0,I15/H15)</f>
        <v>0</v>
      </c>
      <c r="K15" s="8" t="n">
        <f aca="false">COUNTIFS(Plan!$G$2:$G$439,$A15,Plan!$S$2:$S$439,"Overdue")</f>
        <v>0</v>
      </c>
    </row>
    <row r="16" customFormat="false" ht="15" hidden="false" customHeight="false" outlineLevel="0" collapsed="false">
      <c r="A16" s="8" t="s">
        <v>41</v>
      </c>
      <c r="B16" s="8" t="n">
        <f aca="false">COUNTIFS(Plan!$G$2:$G$439,$A16,Plan!$P$2:$P$439,"Not started")</f>
        <v>146</v>
      </c>
      <c r="C16" s="8" t="n">
        <f aca="false">COUNTIFS(Plan!$G$2:$G$439,$A16,Plan!$P$2:$P$439,"Drafting")</f>
        <v>0</v>
      </c>
      <c r="D16" s="8" t="n">
        <f aca="false">COUNTIFS(Plan!$G$2:$G$439,$A16,Plan!$P$2:$P$439,"In review")</f>
        <v>0</v>
      </c>
      <c r="E16" s="8" t="n">
        <f aca="false">COUNTIFS(Plan!$G$2:$G$439,$A16,Plan!$P$2:$P$439,"Approved")</f>
        <v>0</v>
      </c>
      <c r="F16" s="8" t="n">
        <f aca="false">COUNTIFS(Plan!$G$2:$G$439,$A16,Plan!$P$2:$P$439,"Live")</f>
        <v>0</v>
      </c>
      <c r="G16" s="8" t="n">
        <f aca="false">COUNTIFS(Plan!$G$2:$G$439,$A16,Plan!$P$2:$P$439,"Not applicable")</f>
        <v>0</v>
      </c>
      <c r="H16" s="7" t="n">
        <f aca="false">SUM(B16:G16)</f>
        <v>146</v>
      </c>
      <c r="I16" s="8" t="n">
        <f aca="false">E16+F16+G16</f>
        <v>0</v>
      </c>
      <c r="J16" s="9" t="n">
        <f aca="false">IF(H16=0,0,I16/H16)</f>
        <v>0</v>
      </c>
      <c r="K16" s="8" t="n">
        <f aca="false">COUNTIFS(Plan!$G$2:$G$439,$A16,Plan!$S$2:$S$439,"Overdue")</f>
        <v>0</v>
      </c>
    </row>
    <row r="17" customFormat="false" ht="15" hidden="false" customHeight="false" outlineLevel="0" collapsed="false">
      <c r="A17" s="8" t="s">
        <v>42</v>
      </c>
      <c r="B17" s="8" t="n">
        <f aca="false">COUNTIFS(Plan!$G$2:$G$439,$A17,Plan!$P$2:$P$439,"Not started")</f>
        <v>105</v>
      </c>
      <c r="C17" s="8" t="n">
        <f aca="false">COUNTIFS(Plan!$G$2:$G$439,$A17,Plan!$P$2:$P$439,"Drafting")</f>
        <v>0</v>
      </c>
      <c r="D17" s="8" t="n">
        <f aca="false">COUNTIFS(Plan!$G$2:$G$439,$A17,Plan!$P$2:$P$439,"In review")</f>
        <v>0</v>
      </c>
      <c r="E17" s="8" t="n">
        <f aca="false">COUNTIFS(Plan!$G$2:$G$439,$A17,Plan!$P$2:$P$439,"Approved")</f>
        <v>0</v>
      </c>
      <c r="F17" s="8" t="n">
        <f aca="false">COUNTIFS(Plan!$G$2:$G$439,$A17,Plan!$P$2:$P$439,"Live")</f>
        <v>0</v>
      </c>
      <c r="G17" s="8" t="n">
        <f aca="false">COUNTIFS(Plan!$G$2:$G$439,$A17,Plan!$P$2:$P$439,"Not applicable")</f>
        <v>0</v>
      </c>
      <c r="H17" s="7" t="n">
        <f aca="false">SUM(B17:G17)</f>
        <v>105</v>
      </c>
      <c r="I17" s="8" t="n">
        <f aca="false">E17+F17+G17</f>
        <v>0</v>
      </c>
      <c r="J17" s="9" t="n">
        <f aca="false">IF(H17=0,0,I17/H17)</f>
        <v>0</v>
      </c>
      <c r="K17" s="8" t="n">
        <f aca="false">COUNTIFS(Plan!$G$2:$G$439,$A17,Plan!$S$2:$S$439,"Overdue")</f>
        <v>0</v>
      </c>
    </row>
    <row r="18" customFormat="false" ht="15" hidden="false" customHeight="false" outlineLevel="0" collapsed="false">
      <c r="A18" s="8" t="s">
        <v>43</v>
      </c>
      <c r="B18" s="8" t="n">
        <f aca="false">COUNTIFS(Plan!$G$2:$G$439,$A18,Plan!$P$2:$P$439,"Not started")</f>
        <v>17</v>
      </c>
      <c r="C18" s="8" t="n">
        <f aca="false">COUNTIFS(Plan!$G$2:$G$439,$A18,Plan!$P$2:$P$439,"Drafting")</f>
        <v>0</v>
      </c>
      <c r="D18" s="8" t="n">
        <f aca="false">COUNTIFS(Plan!$G$2:$G$439,$A18,Plan!$P$2:$P$439,"In review")</f>
        <v>0</v>
      </c>
      <c r="E18" s="8" t="n">
        <f aca="false">COUNTIFS(Plan!$G$2:$G$439,$A18,Plan!$P$2:$P$439,"Approved")</f>
        <v>0</v>
      </c>
      <c r="F18" s="8" t="n">
        <f aca="false">COUNTIFS(Plan!$G$2:$G$439,$A18,Plan!$P$2:$P$439,"Live")</f>
        <v>0</v>
      </c>
      <c r="G18" s="8" t="n">
        <f aca="false">COUNTIFS(Plan!$G$2:$G$439,$A18,Plan!$P$2:$P$439,"Not applicable")</f>
        <v>0</v>
      </c>
      <c r="H18" s="7" t="n">
        <f aca="false">SUM(B18:G18)</f>
        <v>17</v>
      </c>
      <c r="I18" s="8" t="n">
        <f aca="false">E18+F18+G18</f>
        <v>0</v>
      </c>
      <c r="J18" s="9" t="n">
        <f aca="false">IF(H18=0,0,I18/H18)</f>
        <v>0</v>
      </c>
      <c r="K18" s="8" t="n">
        <f aca="false">COUNTIFS(Plan!$G$2:$G$439,$A18,Plan!$S$2:$S$439,"Overdue")</f>
        <v>0</v>
      </c>
    </row>
    <row r="19" customFormat="false" ht="15" hidden="false" customHeight="false" outlineLevel="0" collapsed="false">
      <c r="A19" s="7" t="s">
        <v>37</v>
      </c>
      <c r="B19" s="7" t="n">
        <f aca="false">SUM(B15:B18)</f>
        <v>438</v>
      </c>
      <c r="C19" s="7" t="n">
        <f aca="false">SUM(C15:C18)</f>
        <v>0</v>
      </c>
      <c r="D19" s="7" t="n">
        <f aca="false">SUM(D15:D18)</f>
        <v>0</v>
      </c>
      <c r="E19" s="7" t="n">
        <f aca="false">SUM(E15:E18)</f>
        <v>0</v>
      </c>
      <c r="F19" s="7" t="n">
        <f aca="false">SUM(F15:F18)</f>
        <v>0</v>
      </c>
      <c r="G19" s="7" t="n">
        <f aca="false">SUM(G15:G18)</f>
        <v>0</v>
      </c>
      <c r="H19" s="7" t="n">
        <f aca="false">SUM(H15:H18)</f>
        <v>438</v>
      </c>
      <c r="I19" s="7" t="n">
        <f aca="false">SUM(I15:I18)</f>
        <v>0</v>
      </c>
      <c r="J19" s="13" t="n">
        <f aca="false">IF(H19=0,0,I19/H19)</f>
        <v>0</v>
      </c>
      <c r="K19" s="7" t="n">
        <f aca="false">SUM(K15:K18)</f>
        <v>0</v>
      </c>
    </row>
    <row r="21" customFormat="false" ht="15" hidden="false" customHeight="false" outlineLevel="0" collapsed="false">
      <c r="A21" s="11" t="s">
        <v>44</v>
      </c>
    </row>
    <row r="22" customFormat="false" ht="23.85" hidden="false" customHeight="false" outlineLevel="0" collapsed="false">
      <c r="A22" s="12" t="s">
        <v>45</v>
      </c>
      <c r="B22" s="12" t="s">
        <v>31</v>
      </c>
      <c r="C22" s="12" t="s">
        <v>32</v>
      </c>
      <c r="D22" s="12" t="s">
        <v>33</v>
      </c>
      <c r="E22" s="12" t="s">
        <v>34</v>
      </c>
      <c r="F22" s="12" t="s">
        <v>35</v>
      </c>
      <c r="G22" s="12" t="s">
        <v>36</v>
      </c>
      <c r="H22" s="12" t="s">
        <v>37</v>
      </c>
      <c r="I22" s="12" t="s">
        <v>38</v>
      </c>
      <c r="J22" s="12" t="s">
        <v>39</v>
      </c>
      <c r="K22" s="12" t="s">
        <v>23</v>
      </c>
    </row>
    <row r="23" customFormat="false" ht="15" hidden="false" customHeight="false" outlineLevel="0" collapsed="false">
      <c r="A23" s="8" t="s">
        <v>46</v>
      </c>
      <c r="B23" s="8" t="n">
        <f aca="false">COUNTIFS(Plan!$F$2:$F$439,$A23,Plan!$P$2:$P$439,"Not started")</f>
        <v>82</v>
      </c>
      <c r="C23" s="8" t="n">
        <f aca="false">COUNTIFS(Plan!$F$2:$F$439,$A23,Plan!$P$2:$P$439,"Drafting")</f>
        <v>0</v>
      </c>
      <c r="D23" s="8" t="n">
        <f aca="false">COUNTIFS(Plan!$F$2:$F$439,$A23,Plan!$P$2:$P$439,"In review")</f>
        <v>0</v>
      </c>
      <c r="E23" s="8" t="n">
        <f aca="false">COUNTIFS(Plan!$F$2:$F$439,$A23,Plan!$P$2:$P$439,"Approved")</f>
        <v>0</v>
      </c>
      <c r="F23" s="8" t="n">
        <f aca="false">COUNTIFS(Plan!$F$2:$F$439,$A23,Plan!$P$2:$P$439,"Live")</f>
        <v>0</v>
      </c>
      <c r="G23" s="8" t="n">
        <f aca="false">COUNTIFS(Plan!$F$2:$F$439,$A23,Plan!$P$2:$P$439,"Not applicable")</f>
        <v>0</v>
      </c>
      <c r="H23" s="7" t="n">
        <f aca="false">SUM(B23:G23)</f>
        <v>82</v>
      </c>
      <c r="I23" s="8" t="n">
        <f aca="false">E23+F23+G23</f>
        <v>0</v>
      </c>
      <c r="J23" s="9" t="n">
        <f aca="false">IF(H23=0,0,I23/H23)</f>
        <v>0</v>
      </c>
      <c r="K23" s="8" t="n">
        <f aca="false">COUNTIFS(Plan!$F$2:$F$439,$A23,Plan!$S$2:$S$439,"Overdue")</f>
        <v>0</v>
      </c>
    </row>
    <row r="24" customFormat="false" ht="15" hidden="false" customHeight="false" outlineLevel="0" collapsed="false">
      <c r="A24" s="8" t="s">
        <v>47</v>
      </c>
      <c r="B24" s="8" t="n">
        <f aca="false">COUNTIFS(Plan!$F$2:$F$439,$A24,Plan!$P$2:$P$439,"Not started")</f>
        <v>43</v>
      </c>
      <c r="C24" s="8" t="n">
        <f aca="false">COUNTIFS(Plan!$F$2:$F$439,$A24,Plan!$P$2:$P$439,"Drafting")</f>
        <v>0</v>
      </c>
      <c r="D24" s="8" t="n">
        <f aca="false">COUNTIFS(Plan!$F$2:$F$439,$A24,Plan!$P$2:$P$439,"In review")</f>
        <v>0</v>
      </c>
      <c r="E24" s="8" t="n">
        <f aca="false">COUNTIFS(Plan!$F$2:$F$439,$A24,Plan!$P$2:$P$439,"Approved")</f>
        <v>0</v>
      </c>
      <c r="F24" s="8" t="n">
        <f aca="false">COUNTIFS(Plan!$F$2:$F$439,$A24,Plan!$P$2:$P$439,"Live")</f>
        <v>0</v>
      </c>
      <c r="G24" s="8" t="n">
        <f aca="false">COUNTIFS(Plan!$F$2:$F$439,$A24,Plan!$P$2:$P$439,"Not applicable")</f>
        <v>0</v>
      </c>
      <c r="H24" s="7" t="n">
        <f aca="false">SUM(B24:G24)</f>
        <v>43</v>
      </c>
      <c r="I24" s="8" t="n">
        <f aca="false">E24+F24+G24</f>
        <v>0</v>
      </c>
      <c r="J24" s="9" t="n">
        <f aca="false">IF(H24=0,0,I24/H24)</f>
        <v>0</v>
      </c>
      <c r="K24" s="8" t="n">
        <f aca="false">COUNTIFS(Plan!$F$2:$F$439,$A24,Plan!$S$2:$S$439,"Overdue")</f>
        <v>0</v>
      </c>
    </row>
    <row r="25" customFormat="false" ht="15" hidden="false" customHeight="false" outlineLevel="0" collapsed="false">
      <c r="A25" s="8" t="s">
        <v>48</v>
      </c>
      <c r="B25" s="8" t="n">
        <f aca="false">COUNTIFS(Plan!$F$2:$F$439,$A25,Plan!$P$2:$P$439,"Not started")</f>
        <v>75</v>
      </c>
      <c r="C25" s="8" t="n">
        <f aca="false">COUNTIFS(Plan!$F$2:$F$439,$A25,Plan!$P$2:$P$439,"Drafting")</f>
        <v>0</v>
      </c>
      <c r="D25" s="8" t="n">
        <f aca="false">COUNTIFS(Plan!$F$2:$F$439,$A25,Plan!$P$2:$P$439,"In review")</f>
        <v>0</v>
      </c>
      <c r="E25" s="8" t="n">
        <f aca="false">COUNTIFS(Plan!$F$2:$F$439,$A25,Plan!$P$2:$P$439,"Approved")</f>
        <v>0</v>
      </c>
      <c r="F25" s="8" t="n">
        <f aca="false">COUNTIFS(Plan!$F$2:$F$439,$A25,Plan!$P$2:$P$439,"Live")</f>
        <v>0</v>
      </c>
      <c r="G25" s="8" t="n">
        <f aca="false">COUNTIFS(Plan!$F$2:$F$439,$A25,Plan!$P$2:$P$439,"Not applicable")</f>
        <v>0</v>
      </c>
      <c r="H25" s="7" t="n">
        <f aca="false">SUM(B25:G25)</f>
        <v>75</v>
      </c>
      <c r="I25" s="8" t="n">
        <f aca="false">E25+F25+G25</f>
        <v>0</v>
      </c>
      <c r="J25" s="9" t="n">
        <f aca="false">IF(H25=0,0,I25/H25)</f>
        <v>0</v>
      </c>
      <c r="K25" s="8" t="n">
        <f aca="false">COUNTIFS(Plan!$F$2:$F$439,$A25,Plan!$S$2:$S$439,"Overdue")</f>
        <v>0</v>
      </c>
    </row>
    <row r="26" customFormat="false" ht="15" hidden="false" customHeight="false" outlineLevel="0" collapsed="false">
      <c r="A26" s="8" t="s">
        <v>49</v>
      </c>
      <c r="B26" s="8" t="n">
        <f aca="false">COUNTIFS(Plan!$F$2:$F$439,$A26,Plan!$P$2:$P$439,"Not started")</f>
        <v>111</v>
      </c>
      <c r="C26" s="8" t="n">
        <f aca="false">COUNTIFS(Plan!$F$2:$F$439,$A26,Plan!$P$2:$P$439,"Drafting")</f>
        <v>0</v>
      </c>
      <c r="D26" s="8" t="n">
        <f aca="false">COUNTIFS(Plan!$F$2:$F$439,$A26,Plan!$P$2:$P$439,"In review")</f>
        <v>0</v>
      </c>
      <c r="E26" s="8" t="n">
        <f aca="false">COUNTIFS(Plan!$F$2:$F$439,$A26,Plan!$P$2:$P$439,"Approved")</f>
        <v>0</v>
      </c>
      <c r="F26" s="8" t="n">
        <f aca="false">COUNTIFS(Plan!$F$2:$F$439,$A26,Plan!$P$2:$P$439,"Live")</f>
        <v>0</v>
      </c>
      <c r="G26" s="8" t="n">
        <f aca="false">COUNTIFS(Plan!$F$2:$F$439,$A26,Plan!$P$2:$P$439,"Not applicable")</f>
        <v>0</v>
      </c>
      <c r="H26" s="7" t="n">
        <f aca="false">SUM(B26:G26)</f>
        <v>111</v>
      </c>
      <c r="I26" s="8" t="n">
        <f aca="false">E26+F26+G26</f>
        <v>0</v>
      </c>
      <c r="J26" s="9" t="n">
        <f aca="false">IF(H26=0,0,I26/H26)</f>
        <v>0</v>
      </c>
      <c r="K26" s="8" t="n">
        <f aca="false">COUNTIFS(Plan!$F$2:$F$439,$A26,Plan!$S$2:$S$439,"Overdue")</f>
        <v>0</v>
      </c>
    </row>
    <row r="27" customFormat="false" ht="15" hidden="false" customHeight="false" outlineLevel="0" collapsed="false">
      <c r="A27" s="8" t="s">
        <v>50</v>
      </c>
      <c r="B27" s="8" t="n">
        <f aca="false">COUNTIFS(Plan!$F$2:$F$439,$A27,Plan!$P$2:$P$439,"Not started")</f>
        <v>52</v>
      </c>
      <c r="C27" s="8" t="n">
        <f aca="false">COUNTIFS(Plan!$F$2:$F$439,$A27,Plan!$P$2:$P$439,"Drafting")</f>
        <v>0</v>
      </c>
      <c r="D27" s="8" t="n">
        <f aca="false">COUNTIFS(Plan!$F$2:$F$439,$A27,Plan!$P$2:$P$439,"In review")</f>
        <v>0</v>
      </c>
      <c r="E27" s="8" t="n">
        <f aca="false">COUNTIFS(Plan!$F$2:$F$439,$A27,Plan!$P$2:$P$439,"Approved")</f>
        <v>0</v>
      </c>
      <c r="F27" s="8" t="n">
        <f aca="false">COUNTIFS(Plan!$F$2:$F$439,$A27,Plan!$P$2:$P$439,"Live")</f>
        <v>0</v>
      </c>
      <c r="G27" s="8" t="n">
        <f aca="false">COUNTIFS(Plan!$F$2:$F$439,$A27,Plan!$P$2:$P$439,"Not applicable")</f>
        <v>0</v>
      </c>
      <c r="H27" s="7" t="n">
        <f aca="false">SUM(B27:G27)</f>
        <v>52</v>
      </c>
      <c r="I27" s="8" t="n">
        <f aca="false">E27+F27+G27</f>
        <v>0</v>
      </c>
      <c r="J27" s="9" t="n">
        <f aca="false">IF(H27=0,0,I27/H27)</f>
        <v>0</v>
      </c>
      <c r="K27" s="8" t="n">
        <f aca="false">COUNTIFS(Plan!$F$2:$F$439,$A27,Plan!$S$2:$S$439,"Overdue")</f>
        <v>0</v>
      </c>
    </row>
    <row r="28" customFormat="false" ht="15" hidden="false" customHeight="false" outlineLevel="0" collapsed="false">
      <c r="A28" s="8" t="s">
        <v>51</v>
      </c>
      <c r="B28" s="8" t="n">
        <f aca="false">COUNTIFS(Plan!$F$2:$F$439,$A28,Plan!$P$2:$P$439,"Not started")</f>
        <v>75</v>
      </c>
      <c r="C28" s="8" t="n">
        <f aca="false">COUNTIFS(Plan!$F$2:$F$439,$A28,Plan!$P$2:$P$439,"Drafting")</f>
        <v>0</v>
      </c>
      <c r="D28" s="8" t="n">
        <f aca="false">COUNTIFS(Plan!$F$2:$F$439,$A28,Plan!$P$2:$P$439,"In review")</f>
        <v>0</v>
      </c>
      <c r="E28" s="8" t="n">
        <f aca="false">COUNTIFS(Plan!$F$2:$F$439,$A28,Plan!$P$2:$P$439,"Approved")</f>
        <v>0</v>
      </c>
      <c r="F28" s="8" t="n">
        <f aca="false">COUNTIFS(Plan!$F$2:$F$439,$A28,Plan!$P$2:$P$439,"Live")</f>
        <v>0</v>
      </c>
      <c r="G28" s="8" t="n">
        <f aca="false">COUNTIFS(Plan!$F$2:$F$439,$A28,Plan!$P$2:$P$439,"Not applicable")</f>
        <v>0</v>
      </c>
      <c r="H28" s="7" t="n">
        <f aca="false">SUM(B28:G28)</f>
        <v>75</v>
      </c>
      <c r="I28" s="8" t="n">
        <f aca="false">E28+F28+G28</f>
        <v>0</v>
      </c>
      <c r="J28" s="9" t="n">
        <f aca="false">IF(H28=0,0,I28/H28)</f>
        <v>0</v>
      </c>
      <c r="K28" s="8" t="n">
        <f aca="false">COUNTIFS(Plan!$F$2:$F$439,$A28,Plan!$S$2:$S$439,"Overdue")</f>
        <v>0</v>
      </c>
    </row>
    <row r="29" customFormat="false" ht="15" hidden="false" customHeight="false" outlineLevel="0" collapsed="false">
      <c r="A29" s="7" t="s">
        <v>37</v>
      </c>
      <c r="B29" s="7" t="n">
        <f aca="false">SUM(B23:B28)</f>
        <v>438</v>
      </c>
      <c r="C29" s="7" t="n">
        <f aca="false">SUM(C23:C28)</f>
        <v>0</v>
      </c>
      <c r="D29" s="7" t="n">
        <f aca="false">SUM(D23:D28)</f>
        <v>0</v>
      </c>
      <c r="E29" s="7" t="n">
        <f aca="false">SUM(E23:E28)</f>
        <v>0</v>
      </c>
      <c r="F29" s="7" t="n">
        <f aca="false">SUM(F23:F28)</f>
        <v>0</v>
      </c>
      <c r="G29" s="7" t="n">
        <f aca="false">SUM(G23:G28)</f>
        <v>0</v>
      </c>
      <c r="H29" s="7" t="n">
        <f aca="false">SUM(H23:H28)</f>
        <v>438</v>
      </c>
      <c r="I29" s="7" t="n">
        <f aca="false">SUM(I23:I28)</f>
        <v>0</v>
      </c>
      <c r="J29" s="13" t="n">
        <f aca="false">IF(H29=0,0,I29/H29)</f>
        <v>0</v>
      </c>
      <c r="K29" s="7" t="n">
        <f aca="false">SUM(K23:K28)</f>
        <v>0</v>
      </c>
    </row>
    <row r="31" customFormat="false" ht="15" hidden="false" customHeight="false" outlineLevel="0" collapsed="false">
      <c r="A31" s="11" t="s">
        <v>52</v>
      </c>
    </row>
    <row r="32" customFormat="false" ht="23.85" hidden="false" customHeight="false" outlineLevel="0" collapsed="false">
      <c r="A32" s="12" t="s">
        <v>53</v>
      </c>
      <c r="B32" s="12" t="s">
        <v>31</v>
      </c>
      <c r="C32" s="12" t="s">
        <v>32</v>
      </c>
      <c r="D32" s="12" t="s">
        <v>33</v>
      </c>
      <c r="E32" s="12" t="s">
        <v>34</v>
      </c>
      <c r="F32" s="12" t="s">
        <v>35</v>
      </c>
      <c r="G32" s="12" t="s">
        <v>36</v>
      </c>
      <c r="H32" s="12" t="s">
        <v>37</v>
      </c>
      <c r="I32" s="12" t="s">
        <v>38</v>
      </c>
      <c r="J32" s="12" t="s">
        <v>39</v>
      </c>
      <c r="K32" s="12" t="s">
        <v>23</v>
      </c>
    </row>
    <row r="33" customFormat="false" ht="15" hidden="false" customHeight="false" outlineLevel="0" collapsed="false">
      <c r="A33" s="8" t="s">
        <v>54</v>
      </c>
      <c r="B33" s="8" t="n">
        <f aca="false">COUNTIFS(Plan!$C$2:$C$439,$A33,Plan!$P$2:$P$439,"Not started")</f>
        <v>57</v>
      </c>
      <c r="C33" s="8" t="n">
        <f aca="false">COUNTIFS(Plan!$C$2:$C$439,$A33,Plan!$P$2:$P$439,"Drafting")</f>
        <v>0</v>
      </c>
      <c r="D33" s="8" t="n">
        <f aca="false">COUNTIFS(Plan!$C$2:$C$439,$A33,Plan!$P$2:$P$439,"In review")</f>
        <v>0</v>
      </c>
      <c r="E33" s="8" t="n">
        <f aca="false">COUNTIFS(Plan!$C$2:$C$439,$A33,Plan!$P$2:$P$439,"Approved")</f>
        <v>0</v>
      </c>
      <c r="F33" s="8" t="n">
        <f aca="false">COUNTIFS(Plan!$C$2:$C$439,$A33,Plan!$P$2:$P$439,"Live")</f>
        <v>0</v>
      </c>
      <c r="G33" s="8" t="n">
        <f aca="false">COUNTIFS(Plan!$C$2:$C$439,$A33,Plan!$P$2:$P$439,"Not applicable")</f>
        <v>0</v>
      </c>
      <c r="H33" s="7" t="n">
        <f aca="false">SUM(B33:G33)</f>
        <v>57</v>
      </c>
      <c r="I33" s="8" t="n">
        <f aca="false">E33+F33+G33</f>
        <v>0</v>
      </c>
      <c r="J33" s="9" t="n">
        <f aca="false">IF(H33=0,0,I33/H33)</f>
        <v>0</v>
      </c>
      <c r="K33" s="8" t="n">
        <f aca="false">COUNTIFS(Plan!$C$2:$C$439,$A33,Plan!$S$2:$S$439,"Overdue")</f>
        <v>0</v>
      </c>
    </row>
    <row r="34" customFormat="false" ht="15" hidden="false" customHeight="false" outlineLevel="0" collapsed="false">
      <c r="A34" s="8" t="s">
        <v>55</v>
      </c>
      <c r="B34" s="8" t="n">
        <f aca="false">COUNTIFS(Plan!$C$2:$C$439,$A34,Plan!$P$2:$P$439,"Not started")</f>
        <v>97</v>
      </c>
      <c r="C34" s="8" t="n">
        <f aca="false">COUNTIFS(Plan!$C$2:$C$439,$A34,Plan!$P$2:$P$439,"Drafting")</f>
        <v>0</v>
      </c>
      <c r="D34" s="8" t="n">
        <f aca="false">COUNTIFS(Plan!$C$2:$C$439,$A34,Plan!$P$2:$P$439,"In review")</f>
        <v>0</v>
      </c>
      <c r="E34" s="8" t="n">
        <f aca="false">COUNTIFS(Plan!$C$2:$C$439,$A34,Plan!$P$2:$P$439,"Approved")</f>
        <v>0</v>
      </c>
      <c r="F34" s="8" t="n">
        <f aca="false">COUNTIFS(Plan!$C$2:$C$439,$A34,Plan!$P$2:$P$439,"Live")</f>
        <v>0</v>
      </c>
      <c r="G34" s="8" t="n">
        <f aca="false">COUNTIFS(Plan!$C$2:$C$439,$A34,Plan!$P$2:$P$439,"Not applicable")</f>
        <v>0</v>
      </c>
      <c r="H34" s="7" t="n">
        <f aca="false">SUM(B34:G34)</f>
        <v>97</v>
      </c>
      <c r="I34" s="8" t="n">
        <f aca="false">E34+F34+G34</f>
        <v>0</v>
      </c>
      <c r="J34" s="9" t="n">
        <f aca="false">IF(H34=0,0,I34/H34)</f>
        <v>0</v>
      </c>
      <c r="K34" s="8" t="n">
        <f aca="false">COUNTIFS(Plan!$C$2:$C$439,$A34,Plan!$S$2:$S$439,"Overdue")</f>
        <v>0</v>
      </c>
    </row>
    <row r="35" customFormat="false" ht="15" hidden="false" customHeight="false" outlineLevel="0" collapsed="false">
      <c r="A35" s="8" t="s">
        <v>56</v>
      </c>
      <c r="B35" s="8" t="n">
        <f aca="false">COUNTIFS(Plan!$C$2:$C$439,$A35,Plan!$P$2:$P$439,"Not started")</f>
        <v>82</v>
      </c>
      <c r="C35" s="8" t="n">
        <f aca="false">COUNTIFS(Plan!$C$2:$C$439,$A35,Plan!$P$2:$P$439,"Drafting")</f>
        <v>0</v>
      </c>
      <c r="D35" s="8" t="n">
        <f aca="false">COUNTIFS(Plan!$C$2:$C$439,$A35,Plan!$P$2:$P$439,"In review")</f>
        <v>0</v>
      </c>
      <c r="E35" s="8" t="n">
        <f aca="false">COUNTIFS(Plan!$C$2:$C$439,$A35,Plan!$P$2:$P$439,"Approved")</f>
        <v>0</v>
      </c>
      <c r="F35" s="8" t="n">
        <f aca="false">COUNTIFS(Plan!$C$2:$C$439,$A35,Plan!$P$2:$P$439,"Live")</f>
        <v>0</v>
      </c>
      <c r="G35" s="8" t="n">
        <f aca="false">COUNTIFS(Plan!$C$2:$C$439,$A35,Plan!$P$2:$P$439,"Not applicable")</f>
        <v>0</v>
      </c>
      <c r="H35" s="7" t="n">
        <f aca="false">SUM(B35:G35)</f>
        <v>82</v>
      </c>
      <c r="I35" s="8" t="n">
        <f aca="false">E35+F35+G35</f>
        <v>0</v>
      </c>
      <c r="J35" s="9" t="n">
        <f aca="false">IF(H35=0,0,I35/H35)</f>
        <v>0</v>
      </c>
      <c r="K35" s="8" t="n">
        <f aca="false">COUNTIFS(Plan!$C$2:$C$439,$A35,Plan!$S$2:$S$439,"Overdue")</f>
        <v>0</v>
      </c>
    </row>
    <row r="36" customFormat="false" ht="15" hidden="false" customHeight="false" outlineLevel="0" collapsed="false">
      <c r="A36" s="8" t="s">
        <v>57</v>
      </c>
      <c r="B36" s="8" t="n">
        <f aca="false">COUNTIFS(Plan!$C$2:$C$439,$A36,Plan!$P$2:$P$439,"Not started")</f>
        <v>79</v>
      </c>
      <c r="C36" s="8" t="n">
        <f aca="false">COUNTIFS(Plan!$C$2:$C$439,$A36,Plan!$P$2:$P$439,"Drafting")</f>
        <v>0</v>
      </c>
      <c r="D36" s="8" t="n">
        <f aca="false">COUNTIFS(Plan!$C$2:$C$439,$A36,Plan!$P$2:$P$439,"In review")</f>
        <v>0</v>
      </c>
      <c r="E36" s="8" t="n">
        <f aca="false">COUNTIFS(Plan!$C$2:$C$439,$A36,Plan!$P$2:$P$439,"Approved")</f>
        <v>0</v>
      </c>
      <c r="F36" s="8" t="n">
        <f aca="false">COUNTIFS(Plan!$C$2:$C$439,$A36,Plan!$P$2:$P$439,"Live")</f>
        <v>0</v>
      </c>
      <c r="G36" s="8" t="n">
        <f aca="false">COUNTIFS(Plan!$C$2:$C$439,$A36,Plan!$P$2:$P$439,"Not applicable")</f>
        <v>0</v>
      </c>
      <c r="H36" s="7" t="n">
        <f aca="false">SUM(B36:G36)</f>
        <v>79</v>
      </c>
      <c r="I36" s="8" t="n">
        <f aca="false">E36+F36+G36</f>
        <v>0</v>
      </c>
      <c r="J36" s="9" t="n">
        <f aca="false">IF(H36=0,0,I36/H36)</f>
        <v>0</v>
      </c>
      <c r="K36" s="8" t="n">
        <f aca="false">COUNTIFS(Plan!$C$2:$C$439,$A36,Plan!$S$2:$S$439,"Overdue")</f>
        <v>0</v>
      </c>
    </row>
    <row r="37" customFormat="false" ht="15" hidden="false" customHeight="false" outlineLevel="0" collapsed="false">
      <c r="A37" s="8" t="s">
        <v>58</v>
      </c>
      <c r="B37" s="8" t="n">
        <f aca="false">COUNTIFS(Plan!$C$2:$C$439,$A37,Plan!$P$2:$P$439,"Not started")</f>
        <v>45</v>
      </c>
      <c r="C37" s="8" t="n">
        <f aca="false">COUNTIFS(Plan!$C$2:$C$439,$A37,Plan!$P$2:$P$439,"Drafting")</f>
        <v>0</v>
      </c>
      <c r="D37" s="8" t="n">
        <f aca="false">COUNTIFS(Plan!$C$2:$C$439,$A37,Plan!$P$2:$P$439,"In review")</f>
        <v>0</v>
      </c>
      <c r="E37" s="8" t="n">
        <f aca="false">COUNTIFS(Plan!$C$2:$C$439,$A37,Plan!$P$2:$P$439,"Approved")</f>
        <v>0</v>
      </c>
      <c r="F37" s="8" t="n">
        <f aca="false">COUNTIFS(Plan!$C$2:$C$439,$A37,Plan!$P$2:$P$439,"Live")</f>
        <v>0</v>
      </c>
      <c r="G37" s="8" t="n">
        <f aca="false">COUNTIFS(Plan!$C$2:$C$439,$A37,Plan!$P$2:$P$439,"Not applicable")</f>
        <v>0</v>
      </c>
      <c r="H37" s="7" t="n">
        <f aca="false">SUM(B37:G37)</f>
        <v>45</v>
      </c>
      <c r="I37" s="8" t="n">
        <f aca="false">E37+F37+G37</f>
        <v>0</v>
      </c>
      <c r="J37" s="9" t="n">
        <f aca="false">IF(H37=0,0,I37/H37)</f>
        <v>0</v>
      </c>
      <c r="K37" s="8" t="n">
        <f aca="false">COUNTIFS(Plan!$C$2:$C$439,$A37,Plan!$S$2:$S$439,"Overdue")</f>
        <v>0</v>
      </c>
    </row>
    <row r="38" customFormat="false" ht="15" hidden="false" customHeight="false" outlineLevel="0" collapsed="false">
      <c r="A38" s="8" t="s">
        <v>59</v>
      </c>
      <c r="B38" s="8" t="n">
        <f aca="false">COUNTIFS(Plan!$C$2:$C$439,$A38,Plan!$P$2:$P$439,"Not started")</f>
        <v>40</v>
      </c>
      <c r="C38" s="8" t="n">
        <f aca="false">COUNTIFS(Plan!$C$2:$C$439,$A38,Plan!$P$2:$P$439,"Drafting")</f>
        <v>0</v>
      </c>
      <c r="D38" s="8" t="n">
        <f aca="false">COUNTIFS(Plan!$C$2:$C$439,$A38,Plan!$P$2:$P$439,"In review")</f>
        <v>0</v>
      </c>
      <c r="E38" s="8" t="n">
        <f aca="false">COUNTIFS(Plan!$C$2:$C$439,$A38,Plan!$P$2:$P$439,"Approved")</f>
        <v>0</v>
      </c>
      <c r="F38" s="8" t="n">
        <f aca="false">COUNTIFS(Plan!$C$2:$C$439,$A38,Plan!$P$2:$P$439,"Live")</f>
        <v>0</v>
      </c>
      <c r="G38" s="8" t="n">
        <f aca="false">COUNTIFS(Plan!$C$2:$C$439,$A38,Plan!$P$2:$P$439,"Not applicable")</f>
        <v>0</v>
      </c>
      <c r="H38" s="7" t="n">
        <f aca="false">SUM(B38:G38)</f>
        <v>40</v>
      </c>
      <c r="I38" s="8" t="n">
        <f aca="false">E38+F38+G38</f>
        <v>0</v>
      </c>
      <c r="J38" s="9" t="n">
        <f aca="false">IF(H38=0,0,I38/H38)</f>
        <v>0</v>
      </c>
      <c r="K38" s="8" t="n">
        <f aca="false">COUNTIFS(Plan!$C$2:$C$439,$A38,Plan!$S$2:$S$439,"Overdue")</f>
        <v>0</v>
      </c>
    </row>
    <row r="39" customFormat="false" ht="15" hidden="false" customHeight="false" outlineLevel="0" collapsed="false">
      <c r="A39" s="8" t="s">
        <v>60</v>
      </c>
      <c r="B39" s="8" t="n">
        <f aca="false">COUNTIFS(Plan!$C$2:$C$439,$A39,Plan!$P$2:$P$439,"Not started")</f>
        <v>17</v>
      </c>
      <c r="C39" s="8" t="n">
        <f aca="false">COUNTIFS(Plan!$C$2:$C$439,$A39,Plan!$P$2:$P$439,"Drafting")</f>
        <v>0</v>
      </c>
      <c r="D39" s="8" t="n">
        <f aca="false">COUNTIFS(Plan!$C$2:$C$439,$A39,Plan!$P$2:$P$439,"In review")</f>
        <v>0</v>
      </c>
      <c r="E39" s="8" t="n">
        <f aca="false">COUNTIFS(Plan!$C$2:$C$439,$A39,Plan!$P$2:$P$439,"Approved")</f>
        <v>0</v>
      </c>
      <c r="F39" s="8" t="n">
        <f aca="false">COUNTIFS(Plan!$C$2:$C$439,$A39,Plan!$P$2:$P$439,"Live")</f>
        <v>0</v>
      </c>
      <c r="G39" s="8" t="n">
        <f aca="false">COUNTIFS(Plan!$C$2:$C$439,$A39,Plan!$P$2:$P$439,"Not applicable")</f>
        <v>0</v>
      </c>
      <c r="H39" s="7" t="n">
        <f aca="false">SUM(B39:G39)</f>
        <v>17</v>
      </c>
      <c r="I39" s="8" t="n">
        <f aca="false">E39+F39+G39</f>
        <v>0</v>
      </c>
      <c r="J39" s="9" t="n">
        <f aca="false">IF(H39=0,0,I39/H39)</f>
        <v>0</v>
      </c>
      <c r="K39" s="8" t="n">
        <f aca="false">COUNTIFS(Plan!$C$2:$C$439,$A39,Plan!$S$2:$S$439,"Overdue")</f>
        <v>0</v>
      </c>
    </row>
    <row r="40" customFormat="false" ht="15" hidden="false" customHeight="false" outlineLevel="0" collapsed="false">
      <c r="A40" s="8" t="s">
        <v>61</v>
      </c>
      <c r="B40" s="8" t="n">
        <f aca="false">COUNTIFS(Plan!$C$2:$C$439,$A40,Plan!$P$2:$P$439,"Not started")</f>
        <v>13</v>
      </c>
      <c r="C40" s="8" t="n">
        <f aca="false">COUNTIFS(Plan!$C$2:$C$439,$A40,Plan!$P$2:$P$439,"Drafting")</f>
        <v>0</v>
      </c>
      <c r="D40" s="8" t="n">
        <f aca="false">COUNTIFS(Plan!$C$2:$C$439,$A40,Plan!$P$2:$P$439,"In review")</f>
        <v>0</v>
      </c>
      <c r="E40" s="8" t="n">
        <f aca="false">COUNTIFS(Plan!$C$2:$C$439,$A40,Plan!$P$2:$P$439,"Approved")</f>
        <v>0</v>
      </c>
      <c r="F40" s="8" t="n">
        <f aca="false">COUNTIFS(Plan!$C$2:$C$439,$A40,Plan!$P$2:$P$439,"Live")</f>
        <v>0</v>
      </c>
      <c r="G40" s="8" t="n">
        <f aca="false">COUNTIFS(Plan!$C$2:$C$439,$A40,Plan!$P$2:$P$439,"Not applicable")</f>
        <v>0</v>
      </c>
      <c r="H40" s="7" t="n">
        <f aca="false">SUM(B40:G40)</f>
        <v>13</v>
      </c>
      <c r="I40" s="8" t="n">
        <f aca="false">E40+F40+G40</f>
        <v>0</v>
      </c>
      <c r="J40" s="9" t="n">
        <f aca="false">IF(H40=0,0,I40/H40)</f>
        <v>0</v>
      </c>
      <c r="K40" s="8" t="n">
        <f aca="false">COUNTIFS(Plan!$C$2:$C$439,$A40,Plan!$S$2:$S$439,"Overdue")</f>
        <v>0</v>
      </c>
    </row>
    <row r="41" customFormat="false" ht="15" hidden="false" customHeight="false" outlineLevel="0" collapsed="false">
      <c r="A41" s="8" t="s">
        <v>62</v>
      </c>
      <c r="B41" s="8" t="n">
        <f aca="false">COUNTIFS(Plan!$C$2:$C$439,$A41,Plan!$P$2:$P$439,"Not started")</f>
        <v>8</v>
      </c>
      <c r="C41" s="8" t="n">
        <f aca="false">COUNTIFS(Plan!$C$2:$C$439,$A41,Plan!$P$2:$P$439,"Drafting")</f>
        <v>0</v>
      </c>
      <c r="D41" s="8" t="n">
        <f aca="false">COUNTIFS(Plan!$C$2:$C$439,$A41,Plan!$P$2:$P$439,"In review")</f>
        <v>0</v>
      </c>
      <c r="E41" s="8" t="n">
        <f aca="false">COUNTIFS(Plan!$C$2:$C$439,$A41,Plan!$P$2:$P$439,"Approved")</f>
        <v>0</v>
      </c>
      <c r="F41" s="8" t="n">
        <f aca="false">COUNTIFS(Plan!$C$2:$C$439,$A41,Plan!$P$2:$P$439,"Live")</f>
        <v>0</v>
      </c>
      <c r="G41" s="8" t="n">
        <f aca="false">COUNTIFS(Plan!$C$2:$C$439,$A41,Plan!$P$2:$P$439,"Not applicable")</f>
        <v>0</v>
      </c>
      <c r="H41" s="7" t="n">
        <f aca="false">SUM(B41:G41)</f>
        <v>8</v>
      </c>
      <c r="I41" s="8" t="n">
        <f aca="false">E41+F41+G41</f>
        <v>0</v>
      </c>
      <c r="J41" s="9" t="n">
        <f aca="false">IF(H41=0,0,I41/H41)</f>
        <v>0</v>
      </c>
      <c r="K41" s="8" t="n">
        <f aca="false">COUNTIFS(Plan!$C$2:$C$439,$A41,Plan!$S$2:$S$439,"Overdue")</f>
        <v>0</v>
      </c>
    </row>
    <row r="42" customFormat="false" ht="15" hidden="false" customHeight="false" outlineLevel="0" collapsed="false">
      <c r="A42" s="7" t="s">
        <v>37</v>
      </c>
      <c r="B42" s="7" t="n">
        <f aca="false">SUM(B33:B41)</f>
        <v>438</v>
      </c>
      <c r="C42" s="7" t="n">
        <f aca="false">SUM(C33:C41)</f>
        <v>0</v>
      </c>
      <c r="D42" s="7" t="n">
        <f aca="false">SUM(D33:D41)</f>
        <v>0</v>
      </c>
      <c r="E42" s="7" t="n">
        <f aca="false">SUM(E33:E41)</f>
        <v>0</v>
      </c>
      <c r="F42" s="7" t="n">
        <f aca="false">SUM(F33:F41)</f>
        <v>0</v>
      </c>
      <c r="G42" s="7" t="n">
        <f aca="false">SUM(G33:G41)</f>
        <v>0</v>
      </c>
      <c r="H42" s="7" t="n">
        <f aca="false">SUM(H33:H41)</f>
        <v>438</v>
      </c>
      <c r="I42" s="7" t="n">
        <f aca="false">SUM(I33:I41)</f>
        <v>0</v>
      </c>
      <c r="J42" s="13" t="n">
        <f aca="false">IF(H42=0,0,I42/H42)</f>
        <v>0</v>
      </c>
      <c r="K42" s="7" t="n">
        <f aca="false">SUM(K33:K41)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2"/>
    <col collapsed="false" customWidth="true" hidden="false" outlineLevel="0" max="3" min="3" style="0" width="11"/>
    <col collapsed="false" customWidth="true" hidden="false" outlineLevel="0" max="4" min="4" style="0" width="12"/>
    <col collapsed="false" customWidth="true" hidden="false" outlineLevel="0" max="5" min="5" style="0" width="20"/>
    <col collapsed="false" customWidth="true" hidden="false" outlineLevel="0" max="6" min="6" style="0" width="34"/>
    <col collapsed="false" customWidth="true" hidden="false" outlineLevel="0" max="7" min="7" style="0" width="9"/>
    <col collapsed="false" customWidth="true" hidden="false" outlineLevel="0" max="12" min="8" style="0" width="12"/>
    <col collapsed="false" customWidth="true" hidden="false" outlineLevel="0" max="16" min="13" style="0" width="13"/>
    <col collapsed="false" customWidth="true" hidden="false" outlineLevel="0" max="17" min="17" style="0" width="34"/>
    <col collapsed="false" customWidth="true" hidden="false" outlineLevel="0" max="18" min="18" style="0" width="40"/>
    <col collapsed="false" customWidth="true" hidden="false" outlineLevel="0" max="19" min="19" style="0" width="10"/>
    <col collapsed="false" customWidth="true" hidden="false" outlineLevel="0" max="20" min="20" style="0" width="9"/>
  </cols>
  <sheetData>
    <row r="1" customFormat="false" ht="30" hidden="false" customHeight="true" outlineLevel="0" collapsed="false">
      <c r="A1" s="12" t="s">
        <v>63</v>
      </c>
      <c r="B1" s="12" t="s">
        <v>64</v>
      </c>
      <c r="C1" s="12" t="s">
        <v>53</v>
      </c>
      <c r="D1" s="12" t="s">
        <v>65</v>
      </c>
      <c r="E1" s="12" t="s">
        <v>66</v>
      </c>
      <c r="F1" s="12" t="s">
        <v>45</v>
      </c>
      <c r="G1" s="12" t="s">
        <v>30</v>
      </c>
      <c r="H1" s="12" t="s">
        <v>67</v>
      </c>
      <c r="I1" s="12" t="s">
        <v>68</v>
      </c>
      <c r="J1" s="12" t="s">
        <v>69</v>
      </c>
      <c r="K1" s="12" t="s">
        <v>70</v>
      </c>
      <c r="L1" s="12" t="s">
        <v>71</v>
      </c>
      <c r="M1" s="12" t="s">
        <v>72</v>
      </c>
      <c r="N1" s="12" t="s">
        <v>73</v>
      </c>
      <c r="O1" s="12" t="s">
        <v>74</v>
      </c>
      <c r="P1" s="12" t="s">
        <v>75</v>
      </c>
      <c r="Q1" s="12" t="s">
        <v>76</v>
      </c>
      <c r="R1" s="12" t="s">
        <v>77</v>
      </c>
      <c r="S1" s="12" t="s">
        <v>23</v>
      </c>
      <c r="T1" s="12" t="s">
        <v>78</v>
      </c>
    </row>
    <row r="2" customFormat="false" ht="35.05" hidden="false" customHeight="false" outlineLevel="0" collapsed="false">
      <c r="A2" s="14" t="s">
        <v>79</v>
      </c>
      <c r="B2" s="15" t="s">
        <v>80</v>
      </c>
      <c r="C2" s="14" t="s">
        <v>54</v>
      </c>
      <c r="D2" s="14" t="s">
        <v>81</v>
      </c>
      <c r="E2" s="14" t="s">
        <v>82</v>
      </c>
      <c r="F2" s="15" t="s">
        <v>46</v>
      </c>
      <c r="G2" s="14" t="s">
        <v>40</v>
      </c>
      <c r="H2" s="16" t="n">
        <v>46335</v>
      </c>
      <c r="I2" s="16" t="n">
        <v>46346</v>
      </c>
      <c r="J2" s="16" t="n">
        <v>46367</v>
      </c>
      <c r="K2" s="16" t="n">
        <v>46395</v>
      </c>
      <c r="L2" s="16" t="n">
        <v>46409</v>
      </c>
      <c r="M2" s="16" t="n">
        <v>46416</v>
      </c>
      <c r="N2" s="17"/>
      <c r="O2" s="16" t="n">
        <f aca="false">IF(N2&lt;&gt;"",N2,M2)</f>
        <v>46416</v>
      </c>
      <c r="P2" s="18" t="s">
        <v>31</v>
      </c>
      <c r="Q2" s="19" t="s">
        <v>83</v>
      </c>
      <c r="R2" s="19"/>
      <c r="S2" s="14" t="str">
        <f aca="true">IF(AND(O2&lt;TODAY(),P2&lt;&gt;"Approved",P2&lt;&gt;"Live",P2&lt;&gt;"Not applicable"),"Overdue","")</f>
        <v/>
      </c>
      <c r="T2" s="14" t="str">
        <f aca="true">IF(S2="Overdue",TODAY()-O2,"")</f>
        <v/>
      </c>
    </row>
    <row r="3" customFormat="false" ht="35.05" hidden="false" customHeight="false" outlineLevel="0" collapsed="false">
      <c r="A3" s="14" t="s">
        <v>84</v>
      </c>
      <c r="B3" s="15" t="s">
        <v>85</v>
      </c>
      <c r="C3" s="14" t="s">
        <v>54</v>
      </c>
      <c r="D3" s="14" t="s">
        <v>81</v>
      </c>
      <c r="E3" s="14" t="s">
        <v>82</v>
      </c>
      <c r="F3" s="15" t="s">
        <v>46</v>
      </c>
      <c r="G3" s="14" t="s">
        <v>40</v>
      </c>
      <c r="H3" s="16" t="n">
        <v>46335</v>
      </c>
      <c r="I3" s="16" t="n">
        <v>46346</v>
      </c>
      <c r="J3" s="16" t="n">
        <v>46367</v>
      </c>
      <c r="K3" s="16" t="n">
        <v>46395</v>
      </c>
      <c r="L3" s="16" t="n">
        <v>46409</v>
      </c>
      <c r="M3" s="16" t="n">
        <v>46416</v>
      </c>
      <c r="N3" s="17"/>
      <c r="O3" s="16" t="n">
        <f aca="false">IF(N3&lt;&gt;"",N3,M3)</f>
        <v>46416</v>
      </c>
      <c r="P3" s="18" t="s">
        <v>31</v>
      </c>
      <c r="Q3" s="19" t="s">
        <v>86</v>
      </c>
      <c r="R3" s="19"/>
      <c r="S3" s="14" t="str">
        <f aca="true">IF(AND(O3&lt;TODAY(),P3&lt;&gt;"Approved",P3&lt;&gt;"Live",P3&lt;&gt;"Not applicable"),"Overdue","")</f>
        <v/>
      </c>
      <c r="T3" s="14" t="str">
        <f aca="true">IF(S3="Overdue",TODAY()-O3,"")</f>
        <v/>
      </c>
    </row>
    <row r="4" customFormat="false" ht="46.25" hidden="false" customHeight="false" outlineLevel="0" collapsed="false">
      <c r="A4" s="14" t="s">
        <v>87</v>
      </c>
      <c r="B4" s="15" t="s">
        <v>88</v>
      </c>
      <c r="C4" s="14" t="s">
        <v>54</v>
      </c>
      <c r="D4" s="14" t="s">
        <v>81</v>
      </c>
      <c r="E4" s="14" t="s">
        <v>82</v>
      </c>
      <c r="F4" s="15" t="s">
        <v>46</v>
      </c>
      <c r="G4" s="14" t="s">
        <v>40</v>
      </c>
      <c r="H4" s="16" t="n">
        <v>46335</v>
      </c>
      <c r="I4" s="16" t="n">
        <v>46346</v>
      </c>
      <c r="J4" s="16" t="n">
        <v>46367</v>
      </c>
      <c r="K4" s="16" t="n">
        <v>46395</v>
      </c>
      <c r="L4" s="16" t="n">
        <v>46409</v>
      </c>
      <c r="M4" s="16" t="n">
        <v>46416</v>
      </c>
      <c r="N4" s="17"/>
      <c r="O4" s="16" t="n">
        <f aca="false">IF(N4&lt;&gt;"",N4,M4)</f>
        <v>46416</v>
      </c>
      <c r="P4" s="18" t="s">
        <v>31</v>
      </c>
      <c r="Q4" s="19" t="s">
        <v>89</v>
      </c>
      <c r="R4" s="19"/>
      <c r="S4" s="14" t="str">
        <f aca="true">IF(AND(O4&lt;TODAY(),P4&lt;&gt;"Approved",P4&lt;&gt;"Live",P4&lt;&gt;"Not applicable"),"Overdue","")</f>
        <v/>
      </c>
      <c r="T4" s="14" t="str">
        <f aca="true">IF(S4="Overdue",TODAY()-O4,"")</f>
        <v/>
      </c>
    </row>
    <row r="5" customFormat="false" ht="35.05" hidden="false" customHeight="false" outlineLevel="0" collapsed="false">
      <c r="A5" s="14" t="s">
        <v>90</v>
      </c>
      <c r="B5" s="15" t="s">
        <v>91</v>
      </c>
      <c r="C5" s="14" t="s">
        <v>54</v>
      </c>
      <c r="D5" s="14" t="s">
        <v>81</v>
      </c>
      <c r="E5" s="14" t="s">
        <v>82</v>
      </c>
      <c r="F5" s="15" t="s">
        <v>46</v>
      </c>
      <c r="G5" s="14" t="s">
        <v>40</v>
      </c>
      <c r="H5" s="16" t="n">
        <v>46335</v>
      </c>
      <c r="I5" s="16" t="n">
        <v>46346</v>
      </c>
      <c r="J5" s="16" t="n">
        <v>46367</v>
      </c>
      <c r="K5" s="16" t="n">
        <v>46395</v>
      </c>
      <c r="L5" s="16" t="n">
        <v>46409</v>
      </c>
      <c r="M5" s="16" t="n">
        <v>46416</v>
      </c>
      <c r="N5" s="17"/>
      <c r="O5" s="16" t="n">
        <f aca="false">IF(N5&lt;&gt;"",N5,M5)</f>
        <v>46416</v>
      </c>
      <c r="P5" s="18" t="s">
        <v>31</v>
      </c>
      <c r="Q5" s="19" t="s">
        <v>92</v>
      </c>
      <c r="R5" s="19"/>
      <c r="S5" s="14" t="str">
        <f aca="true">IF(AND(O5&lt;TODAY(),P5&lt;&gt;"Approved",P5&lt;&gt;"Live",P5&lt;&gt;"Not applicable"),"Overdue","")</f>
        <v/>
      </c>
      <c r="T5" s="14" t="str">
        <f aca="true">IF(S5="Overdue",TODAY()-O5,"")</f>
        <v/>
      </c>
    </row>
    <row r="6" customFormat="false" ht="23.85" hidden="false" customHeight="false" outlineLevel="0" collapsed="false">
      <c r="A6" s="14" t="s">
        <v>93</v>
      </c>
      <c r="B6" s="15" t="s">
        <v>94</v>
      </c>
      <c r="C6" s="14" t="s">
        <v>54</v>
      </c>
      <c r="D6" s="14" t="s">
        <v>81</v>
      </c>
      <c r="E6" s="14" t="s">
        <v>82</v>
      </c>
      <c r="F6" s="15" t="s">
        <v>46</v>
      </c>
      <c r="G6" s="14" t="s">
        <v>40</v>
      </c>
      <c r="H6" s="16" t="n">
        <v>46335</v>
      </c>
      <c r="I6" s="16" t="n">
        <v>46346</v>
      </c>
      <c r="J6" s="16" t="n">
        <v>46367</v>
      </c>
      <c r="K6" s="16" t="n">
        <v>46395</v>
      </c>
      <c r="L6" s="16" t="n">
        <v>46409</v>
      </c>
      <c r="M6" s="16" t="n">
        <v>46416</v>
      </c>
      <c r="N6" s="17"/>
      <c r="O6" s="16" t="n">
        <f aca="false">IF(N6&lt;&gt;"",N6,M6)</f>
        <v>46416</v>
      </c>
      <c r="P6" s="18" t="s">
        <v>31</v>
      </c>
      <c r="Q6" s="19" t="s">
        <v>95</v>
      </c>
      <c r="R6" s="19"/>
      <c r="S6" s="14" t="str">
        <f aca="true">IF(AND(O6&lt;TODAY(),P6&lt;&gt;"Approved",P6&lt;&gt;"Live",P6&lt;&gt;"Not applicable"),"Overdue","")</f>
        <v/>
      </c>
      <c r="T6" s="14" t="str">
        <f aca="true">IF(S6="Overdue",TODAY()-O6,"")</f>
        <v/>
      </c>
    </row>
    <row r="7" customFormat="false" ht="23.85" hidden="false" customHeight="false" outlineLevel="0" collapsed="false">
      <c r="A7" s="14" t="s">
        <v>96</v>
      </c>
      <c r="B7" s="15" t="s">
        <v>97</v>
      </c>
      <c r="C7" s="14" t="s">
        <v>54</v>
      </c>
      <c r="D7" s="14" t="s">
        <v>81</v>
      </c>
      <c r="E7" s="14" t="s">
        <v>82</v>
      </c>
      <c r="F7" s="15" t="s">
        <v>46</v>
      </c>
      <c r="G7" s="14" t="s">
        <v>40</v>
      </c>
      <c r="H7" s="16" t="n">
        <v>46335</v>
      </c>
      <c r="I7" s="16" t="n">
        <v>46346</v>
      </c>
      <c r="J7" s="16" t="n">
        <v>46367</v>
      </c>
      <c r="K7" s="16" t="n">
        <v>46395</v>
      </c>
      <c r="L7" s="16" t="n">
        <v>46409</v>
      </c>
      <c r="M7" s="16" t="n">
        <v>46416</v>
      </c>
      <c r="N7" s="17"/>
      <c r="O7" s="16" t="n">
        <f aca="false">IF(N7&lt;&gt;"",N7,M7)</f>
        <v>46416</v>
      </c>
      <c r="P7" s="18" t="s">
        <v>31</v>
      </c>
      <c r="Q7" s="19" t="s">
        <v>98</v>
      </c>
      <c r="R7" s="19"/>
      <c r="S7" s="14" t="str">
        <f aca="true">IF(AND(O7&lt;TODAY(),P7&lt;&gt;"Approved",P7&lt;&gt;"Live",P7&lt;&gt;"Not applicable"),"Overdue","")</f>
        <v/>
      </c>
      <c r="T7" s="14" t="str">
        <f aca="true">IF(S7="Overdue",TODAY()-O7,"")</f>
        <v/>
      </c>
    </row>
    <row r="8" customFormat="false" ht="35.05" hidden="false" customHeight="false" outlineLevel="0" collapsed="false">
      <c r="A8" s="14" t="s">
        <v>99</v>
      </c>
      <c r="B8" s="15" t="s">
        <v>100</v>
      </c>
      <c r="C8" s="14" t="s">
        <v>54</v>
      </c>
      <c r="D8" s="14" t="s">
        <v>101</v>
      </c>
      <c r="E8" s="14" t="s">
        <v>102</v>
      </c>
      <c r="F8" s="15" t="s">
        <v>46</v>
      </c>
      <c r="G8" s="14" t="s">
        <v>40</v>
      </c>
      <c r="H8" s="16" t="n">
        <v>46335</v>
      </c>
      <c r="I8" s="16" t="n">
        <v>46346</v>
      </c>
      <c r="J8" s="16" t="n">
        <v>46367</v>
      </c>
      <c r="K8" s="16" t="n">
        <v>46395</v>
      </c>
      <c r="L8" s="16" t="n">
        <v>46409</v>
      </c>
      <c r="M8" s="16" t="n">
        <v>46416</v>
      </c>
      <c r="N8" s="17"/>
      <c r="O8" s="16" t="n">
        <f aca="false">IF(N8&lt;&gt;"",N8,M8)</f>
        <v>46416</v>
      </c>
      <c r="P8" s="18" t="s">
        <v>31</v>
      </c>
      <c r="Q8" s="19" t="s">
        <v>103</v>
      </c>
      <c r="R8" s="19"/>
      <c r="S8" s="14" t="str">
        <f aca="true">IF(AND(O8&lt;TODAY(),P8&lt;&gt;"Approved",P8&lt;&gt;"Live",P8&lt;&gt;"Not applicable"),"Overdue","")</f>
        <v/>
      </c>
      <c r="T8" s="14" t="str">
        <f aca="true">IF(S8="Overdue",TODAY()-O8,"")</f>
        <v/>
      </c>
    </row>
    <row r="9" customFormat="false" ht="23.85" hidden="false" customHeight="false" outlineLevel="0" collapsed="false">
      <c r="A9" s="14" t="s">
        <v>104</v>
      </c>
      <c r="B9" s="15" t="s">
        <v>105</v>
      </c>
      <c r="C9" s="14" t="s">
        <v>54</v>
      </c>
      <c r="D9" s="14" t="s">
        <v>101</v>
      </c>
      <c r="E9" s="14" t="s">
        <v>102</v>
      </c>
      <c r="F9" s="15" t="s">
        <v>46</v>
      </c>
      <c r="G9" s="14" t="s">
        <v>40</v>
      </c>
      <c r="H9" s="16" t="n">
        <v>46335</v>
      </c>
      <c r="I9" s="16" t="n">
        <v>46346</v>
      </c>
      <c r="J9" s="16" t="n">
        <v>46367</v>
      </c>
      <c r="K9" s="16" t="n">
        <v>46395</v>
      </c>
      <c r="L9" s="16" t="n">
        <v>46409</v>
      </c>
      <c r="M9" s="16" t="n">
        <v>46416</v>
      </c>
      <c r="N9" s="17"/>
      <c r="O9" s="16" t="n">
        <f aca="false">IF(N9&lt;&gt;"",N9,M9)</f>
        <v>46416</v>
      </c>
      <c r="P9" s="18" t="s">
        <v>31</v>
      </c>
      <c r="Q9" s="19" t="s">
        <v>106</v>
      </c>
      <c r="R9" s="19"/>
      <c r="S9" s="14" t="str">
        <f aca="true">IF(AND(O9&lt;TODAY(),P9&lt;&gt;"Approved",P9&lt;&gt;"Live",P9&lt;&gt;"Not applicable"),"Overdue","")</f>
        <v/>
      </c>
      <c r="T9" s="14" t="str">
        <f aca="true">IF(S9="Overdue",TODAY()-O9,"")</f>
        <v/>
      </c>
    </row>
    <row r="10" customFormat="false" ht="15" hidden="false" customHeight="false" outlineLevel="0" collapsed="false">
      <c r="A10" s="14" t="s">
        <v>107</v>
      </c>
      <c r="B10" s="15" t="s">
        <v>108</v>
      </c>
      <c r="C10" s="14" t="s">
        <v>54</v>
      </c>
      <c r="D10" s="14" t="s">
        <v>109</v>
      </c>
      <c r="E10" s="14" t="s">
        <v>102</v>
      </c>
      <c r="F10" s="15" t="s">
        <v>47</v>
      </c>
      <c r="G10" s="14" t="s">
        <v>40</v>
      </c>
      <c r="H10" s="16" t="n">
        <v>46335</v>
      </c>
      <c r="I10" s="16" t="n">
        <v>46346</v>
      </c>
      <c r="J10" s="16" t="n">
        <v>46367</v>
      </c>
      <c r="K10" s="16" t="n">
        <v>46395</v>
      </c>
      <c r="L10" s="16" t="n">
        <v>46409</v>
      </c>
      <c r="M10" s="16" t="n">
        <v>46416</v>
      </c>
      <c r="N10" s="17"/>
      <c r="O10" s="16" t="n">
        <f aca="false">IF(N10&lt;&gt;"",N10,M10)</f>
        <v>46416</v>
      </c>
      <c r="P10" s="18" t="s">
        <v>31</v>
      </c>
      <c r="Q10" s="19" t="s">
        <v>110</v>
      </c>
      <c r="R10" s="19"/>
      <c r="S10" s="14" t="str">
        <f aca="true">IF(AND(O10&lt;TODAY(),P10&lt;&gt;"Approved",P10&lt;&gt;"Live",P10&lt;&gt;"Not applicable"),"Overdue","")</f>
        <v/>
      </c>
      <c r="T10" s="14" t="str">
        <f aca="true">IF(S10="Overdue",TODAY()-O10,"")</f>
        <v/>
      </c>
    </row>
    <row r="11" customFormat="false" ht="23.85" hidden="false" customHeight="false" outlineLevel="0" collapsed="false">
      <c r="A11" s="14" t="s">
        <v>111</v>
      </c>
      <c r="B11" s="15" t="s">
        <v>112</v>
      </c>
      <c r="C11" s="14" t="s">
        <v>54</v>
      </c>
      <c r="D11" s="14" t="s">
        <v>109</v>
      </c>
      <c r="E11" s="14" t="s">
        <v>102</v>
      </c>
      <c r="F11" s="15" t="s">
        <v>47</v>
      </c>
      <c r="G11" s="14" t="s">
        <v>40</v>
      </c>
      <c r="H11" s="16" t="n">
        <v>46335</v>
      </c>
      <c r="I11" s="16" t="n">
        <v>46346</v>
      </c>
      <c r="J11" s="16" t="n">
        <v>46367</v>
      </c>
      <c r="K11" s="16" t="n">
        <v>46395</v>
      </c>
      <c r="L11" s="16" t="n">
        <v>46409</v>
      </c>
      <c r="M11" s="16" t="n">
        <v>46416</v>
      </c>
      <c r="N11" s="17"/>
      <c r="O11" s="16" t="n">
        <f aca="false">IF(N11&lt;&gt;"",N11,M11)</f>
        <v>46416</v>
      </c>
      <c r="P11" s="18" t="s">
        <v>31</v>
      </c>
      <c r="Q11" s="19" t="s">
        <v>113</v>
      </c>
      <c r="R11" s="19"/>
      <c r="S11" s="14" t="str">
        <f aca="true">IF(AND(O11&lt;TODAY(),P11&lt;&gt;"Approved",P11&lt;&gt;"Live",P11&lt;&gt;"Not applicable"),"Overdue","")</f>
        <v/>
      </c>
      <c r="T11" s="14" t="str">
        <f aca="true">IF(S11="Overdue",TODAY()-O11,"")</f>
        <v/>
      </c>
    </row>
    <row r="12" customFormat="false" ht="35.05" hidden="false" customHeight="false" outlineLevel="0" collapsed="false">
      <c r="A12" s="14" t="s">
        <v>114</v>
      </c>
      <c r="B12" s="15" t="s">
        <v>115</v>
      </c>
      <c r="C12" s="14" t="s">
        <v>54</v>
      </c>
      <c r="D12" s="14" t="s">
        <v>109</v>
      </c>
      <c r="E12" s="14" t="s">
        <v>116</v>
      </c>
      <c r="F12" s="15" t="s">
        <v>47</v>
      </c>
      <c r="G12" s="14" t="s">
        <v>40</v>
      </c>
      <c r="H12" s="16" t="n">
        <v>46335</v>
      </c>
      <c r="I12" s="16" t="n">
        <v>46346</v>
      </c>
      <c r="J12" s="16" t="n">
        <v>46367</v>
      </c>
      <c r="K12" s="16" t="n">
        <v>46395</v>
      </c>
      <c r="L12" s="16" t="n">
        <v>46409</v>
      </c>
      <c r="M12" s="16" t="n">
        <v>46416</v>
      </c>
      <c r="N12" s="17"/>
      <c r="O12" s="16" t="n">
        <f aca="false">IF(N12&lt;&gt;"",N12,M12)</f>
        <v>46416</v>
      </c>
      <c r="P12" s="18" t="s">
        <v>31</v>
      </c>
      <c r="Q12" s="19" t="s">
        <v>117</v>
      </c>
      <c r="R12" s="19"/>
      <c r="S12" s="14" t="str">
        <f aca="true">IF(AND(O12&lt;TODAY(),P12&lt;&gt;"Approved",P12&lt;&gt;"Live",P12&lt;&gt;"Not applicable"),"Overdue","")</f>
        <v/>
      </c>
      <c r="T12" s="14" t="str">
        <f aca="true">IF(S12="Overdue",TODAY()-O12,"")</f>
        <v/>
      </c>
    </row>
    <row r="13" customFormat="false" ht="23.85" hidden="false" customHeight="false" outlineLevel="0" collapsed="false">
      <c r="A13" s="14" t="s">
        <v>118</v>
      </c>
      <c r="B13" s="15" t="s">
        <v>119</v>
      </c>
      <c r="C13" s="14" t="s">
        <v>54</v>
      </c>
      <c r="D13" s="14" t="s">
        <v>109</v>
      </c>
      <c r="E13" s="14" t="s">
        <v>102</v>
      </c>
      <c r="F13" s="15" t="s">
        <v>47</v>
      </c>
      <c r="G13" s="14" t="s">
        <v>40</v>
      </c>
      <c r="H13" s="16" t="n">
        <v>46335</v>
      </c>
      <c r="I13" s="16" t="n">
        <v>46346</v>
      </c>
      <c r="J13" s="16" t="n">
        <v>46367</v>
      </c>
      <c r="K13" s="16" t="n">
        <v>46395</v>
      </c>
      <c r="L13" s="16" t="n">
        <v>46409</v>
      </c>
      <c r="M13" s="16" t="n">
        <v>46416</v>
      </c>
      <c r="N13" s="17"/>
      <c r="O13" s="16" t="n">
        <f aca="false">IF(N13&lt;&gt;"",N13,M13)</f>
        <v>46416</v>
      </c>
      <c r="P13" s="18" t="s">
        <v>31</v>
      </c>
      <c r="Q13" s="19" t="s">
        <v>120</v>
      </c>
      <c r="R13" s="19"/>
      <c r="S13" s="14" t="str">
        <f aca="true">IF(AND(O13&lt;TODAY(),P13&lt;&gt;"Approved",P13&lt;&gt;"Live",P13&lt;&gt;"Not applicable"),"Overdue","")</f>
        <v/>
      </c>
      <c r="T13" s="14" t="str">
        <f aca="true">IF(S13="Overdue",TODAY()-O13,"")</f>
        <v/>
      </c>
    </row>
    <row r="14" customFormat="false" ht="23.85" hidden="false" customHeight="false" outlineLevel="0" collapsed="false">
      <c r="A14" s="14" t="s">
        <v>121</v>
      </c>
      <c r="B14" s="15" t="s">
        <v>122</v>
      </c>
      <c r="C14" s="14" t="s">
        <v>54</v>
      </c>
      <c r="D14" s="14" t="s">
        <v>109</v>
      </c>
      <c r="E14" s="14" t="s">
        <v>102</v>
      </c>
      <c r="F14" s="15" t="s">
        <v>47</v>
      </c>
      <c r="G14" s="14" t="s">
        <v>40</v>
      </c>
      <c r="H14" s="16" t="n">
        <v>46335</v>
      </c>
      <c r="I14" s="16" t="n">
        <v>46346</v>
      </c>
      <c r="J14" s="16" t="n">
        <v>46367</v>
      </c>
      <c r="K14" s="16" t="n">
        <v>46395</v>
      </c>
      <c r="L14" s="16" t="n">
        <v>46409</v>
      </c>
      <c r="M14" s="16" t="n">
        <v>46416</v>
      </c>
      <c r="N14" s="17"/>
      <c r="O14" s="16" t="n">
        <f aca="false">IF(N14&lt;&gt;"",N14,M14)</f>
        <v>46416</v>
      </c>
      <c r="P14" s="18" t="s">
        <v>31</v>
      </c>
      <c r="Q14" s="19" t="s">
        <v>123</v>
      </c>
      <c r="R14" s="19"/>
      <c r="S14" s="14" t="str">
        <f aca="true">IF(AND(O14&lt;TODAY(),P14&lt;&gt;"Approved",P14&lt;&gt;"Live",P14&lt;&gt;"Not applicable"),"Overdue","")</f>
        <v/>
      </c>
      <c r="T14" s="14" t="str">
        <f aca="true">IF(S14="Overdue",TODAY()-O14,"")</f>
        <v/>
      </c>
    </row>
    <row r="15" customFormat="false" ht="23.85" hidden="false" customHeight="false" outlineLevel="0" collapsed="false">
      <c r="A15" s="14" t="s">
        <v>124</v>
      </c>
      <c r="B15" s="15" t="s">
        <v>125</v>
      </c>
      <c r="C15" s="14" t="s">
        <v>54</v>
      </c>
      <c r="D15" s="14" t="s">
        <v>126</v>
      </c>
      <c r="E15" s="14" t="s">
        <v>102</v>
      </c>
      <c r="F15" s="15" t="s">
        <v>49</v>
      </c>
      <c r="G15" s="14" t="s">
        <v>40</v>
      </c>
      <c r="H15" s="16" t="n">
        <v>46335</v>
      </c>
      <c r="I15" s="16" t="n">
        <v>46346</v>
      </c>
      <c r="J15" s="16" t="n">
        <v>46367</v>
      </c>
      <c r="K15" s="16" t="n">
        <v>46395</v>
      </c>
      <c r="L15" s="16" t="n">
        <v>46409</v>
      </c>
      <c r="M15" s="16" t="n">
        <v>46416</v>
      </c>
      <c r="N15" s="17"/>
      <c r="O15" s="16" t="n">
        <f aca="false">IF(N15&lt;&gt;"",N15,M15)</f>
        <v>46416</v>
      </c>
      <c r="P15" s="18" t="s">
        <v>31</v>
      </c>
      <c r="Q15" s="19" t="s">
        <v>127</v>
      </c>
      <c r="R15" s="19"/>
      <c r="S15" s="14" t="str">
        <f aca="true">IF(AND(O15&lt;TODAY(),P15&lt;&gt;"Approved",P15&lt;&gt;"Live",P15&lt;&gt;"Not applicable"),"Overdue","")</f>
        <v/>
      </c>
      <c r="T15" s="14" t="str">
        <f aca="true">IF(S15="Overdue",TODAY()-O15,"")</f>
        <v/>
      </c>
    </row>
    <row r="16" customFormat="false" ht="23.85" hidden="false" customHeight="false" outlineLevel="0" collapsed="false">
      <c r="A16" s="14" t="s">
        <v>128</v>
      </c>
      <c r="B16" s="15" t="s">
        <v>129</v>
      </c>
      <c r="C16" s="14" t="s">
        <v>54</v>
      </c>
      <c r="D16" s="14" t="s">
        <v>126</v>
      </c>
      <c r="E16" s="14" t="s">
        <v>102</v>
      </c>
      <c r="F16" s="15" t="s">
        <v>49</v>
      </c>
      <c r="G16" s="14" t="s">
        <v>40</v>
      </c>
      <c r="H16" s="16" t="n">
        <v>46335</v>
      </c>
      <c r="I16" s="16" t="n">
        <v>46346</v>
      </c>
      <c r="J16" s="16" t="n">
        <v>46367</v>
      </c>
      <c r="K16" s="16" t="n">
        <v>46395</v>
      </c>
      <c r="L16" s="16" t="n">
        <v>46409</v>
      </c>
      <c r="M16" s="16" t="n">
        <v>46416</v>
      </c>
      <c r="N16" s="17"/>
      <c r="O16" s="16" t="n">
        <f aca="false">IF(N16&lt;&gt;"",N16,M16)</f>
        <v>46416</v>
      </c>
      <c r="P16" s="18" t="s">
        <v>31</v>
      </c>
      <c r="Q16" s="19" t="s">
        <v>130</v>
      </c>
      <c r="R16" s="19"/>
      <c r="S16" s="14" t="str">
        <f aca="true">IF(AND(O16&lt;TODAY(),P16&lt;&gt;"Approved",P16&lt;&gt;"Live",P16&lt;&gt;"Not applicable"),"Overdue","")</f>
        <v/>
      </c>
      <c r="T16" s="14" t="str">
        <f aca="true">IF(S16="Overdue",TODAY()-O16,"")</f>
        <v/>
      </c>
    </row>
    <row r="17" customFormat="false" ht="23.85" hidden="false" customHeight="false" outlineLevel="0" collapsed="false">
      <c r="A17" s="14" t="s">
        <v>131</v>
      </c>
      <c r="B17" s="15" t="s">
        <v>132</v>
      </c>
      <c r="C17" s="14" t="s">
        <v>54</v>
      </c>
      <c r="D17" s="14" t="s">
        <v>126</v>
      </c>
      <c r="E17" s="14" t="s">
        <v>82</v>
      </c>
      <c r="F17" s="15" t="s">
        <v>49</v>
      </c>
      <c r="G17" s="14" t="s">
        <v>40</v>
      </c>
      <c r="H17" s="16" t="n">
        <v>46335</v>
      </c>
      <c r="I17" s="16" t="n">
        <v>46346</v>
      </c>
      <c r="J17" s="16" t="n">
        <v>46367</v>
      </c>
      <c r="K17" s="16" t="n">
        <v>46395</v>
      </c>
      <c r="L17" s="16" t="n">
        <v>46409</v>
      </c>
      <c r="M17" s="16" t="n">
        <v>46416</v>
      </c>
      <c r="N17" s="17"/>
      <c r="O17" s="16" t="n">
        <f aca="false">IF(N17&lt;&gt;"",N17,M17)</f>
        <v>46416</v>
      </c>
      <c r="P17" s="18" t="s">
        <v>31</v>
      </c>
      <c r="Q17" s="19" t="s">
        <v>133</v>
      </c>
      <c r="R17" s="19"/>
      <c r="S17" s="14" t="str">
        <f aca="true">IF(AND(O17&lt;TODAY(),P17&lt;&gt;"Approved",P17&lt;&gt;"Live",P17&lt;&gt;"Not applicable"),"Overdue","")</f>
        <v/>
      </c>
      <c r="T17" s="14" t="str">
        <f aca="true">IF(S17="Overdue",TODAY()-O17,"")</f>
        <v/>
      </c>
    </row>
    <row r="18" customFormat="false" ht="15" hidden="false" customHeight="false" outlineLevel="0" collapsed="false">
      <c r="A18" s="14" t="s">
        <v>134</v>
      </c>
      <c r="B18" s="15" t="s">
        <v>135</v>
      </c>
      <c r="C18" s="14" t="s">
        <v>54</v>
      </c>
      <c r="D18" s="14" t="s">
        <v>126</v>
      </c>
      <c r="E18" s="14" t="s">
        <v>102</v>
      </c>
      <c r="F18" s="15" t="s">
        <v>49</v>
      </c>
      <c r="G18" s="14" t="s">
        <v>40</v>
      </c>
      <c r="H18" s="16" t="n">
        <v>46335</v>
      </c>
      <c r="I18" s="16" t="n">
        <v>46346</v>
      </c>
      <c r="J18" s="16" t="n">
        <v>46367</v>
      </c>
      <c r="K18" s="16" t="n">
        <v>46395</v>
      </c>
      <c r="L18" s="16" t="n">
        <v>46409</v>
      </c>
      <c r="M18" s="16" t="n">
        <v>46416</v>
      </c>
      <c r="N18" s="17"/>
      <c r="O18" s="16" t="n">
        <f aca="false">IF(N18&lt;&gt;"",N18,M18)</f>
        <v>46416</v>
      </c>
      <c r="P18" s="18" t="s">
        <v>31</v>
      </c>
      <c r="Q18" s="19" t="s">
        <v>136</v>
      </c>
      <c r="R18" s="19"/>
      <c r="S18" s="14" t="str">
        <f aca="true">IF(AND(O18&lt;TODAY(),P18&lt;&gt;"Approved",P18&lt;&gt;"Live",P18&lt;&gt;"Not applicable"),"Overdue","")</f>
        <v/>
      </c>
      <c r="T18" s="14" t="str">
        <f aca="true">IF(S18="Overdue",TODAY()-O18,"")</f>
        <v/>
      </c>
    </row>
    <row r="19" customFormat="false" ht="23.85" hidden="false" customHeight="false" outlineLevel="0" collapsed="false">
      <c r="A19" s="14" t="s">
        <v>137</v>
      </c>
      <c r="B19" s="15" t="s">
        <v>138</v>
      </c>
      <c r="C19" s="14" t="s">
        <v>54</v>
      </c>
      <c r="D19" s="14" t="s">
        <v>126</v>
      </c>
      <c r="E19" s="14" t="s">
        <v>102</v>
      </c>
      <c r="F19" s="15" t="s">
        <v>49</v>
      </c>
      <c r="G19" s="14" t="s">
        <v>40</v>
      </c>
      <c r="H19" s="16" t="n">
        <v>46335</v>
      </c>
      <c r="I19" s="16" t="n">
        <v>46346</v>
      </c>
      <c r="J19" s="16" t="n">
        <v>46367</v>
      </c>
      <c r="K19" s="16" t="n">
        <v>46395</v>
      </c>
      <c r="L19" s="16" t="n">
        <v>46409</v>
      </c>
      <c r="M19" s="16" t="n">
        <v>46416</v>
      </c>
      <c r="N19" s="17"/>
      <c r="O19" s="16" t="n">
        <f aca="false">IF(N19&lt;&gt;"",N19,M19)</f>
        <v>46416</v>
      </c>
      <c r="P19" s="18" t="s">
        <v>31</v>
      </c>
      <c r="Q19" s="19" t="s">
        <v>139</v>
      </c>
      <c r="R19" s="19"/>
      <c r="S19" s="14" t="str">
        <f aca="true">IF(AND(O19&lt;TODAY(),P19&lt;&gt;"Approved",P19&lt;&gt;"Live",P19&lt;&gt;"Not applicable"),"Overdue","")</f>
        <v/>
      </c>
      <c r="T19" s="14" t="str">
        <f aca="true">IF(S19="Overdue",TODAY()-O19,"")</f>
        <v/>
      </c>
    </row>
    <row r="20" customFormat="false" ht="23.85" hidden="false" customHeight="false" outlineLevel="0" collapsed="false">
      <c r="A20" s="14" t="s">
        <v>140</v>
      </c>
      <c r="B20" s="15" t="s">
        <v>141</v>
      </c>
      <c r="C20" s="14" t="s">
        <v>54</v>
      </c>
      <c r="D20" s="14" t="s">
        <v>126</v>
      </c>
      <c r="E20" s="14" t="s">
        <v>102</v>
      </c>
      <c r="F20" s="15" t="s">
        <v>49</v>
      </c>
      <c r="G20" s="14" t="s">
        <v>40</v>
      </c>
      <c r="H20" s="16" t="n">
        <v>46335</v>
      </c>
      <c r="I20" s="16" t="n">
        <v>46346</v>
      </c>
      <c r="J20" s="16" t="n">
        <v>46367</v>
      </c>
      <c r="K20" s="16" t="n">
        <v>46395</v>
      </c>
      <c r="L20" s="16" t="n">
        <v>46409</v>
      </c>
      <c r="M20" s="16" t="n">
        <v>46416</v>
      </c>
      <c r="N20" s="17"/>
      <c r="O20" s="16" t="n">
        <f aca="false">IF(N20&lt;&gt;"",N20,M20)</f>
        <v>46416</v>
      </c>
      <c r="P20" s="18" t="s">
        <v>31</v>
      </c>
      <c r="Q20" s="19" t="s">
        <v>142</v>
      </c>
      <c r="R20" s="19"/>
      <c r="S20" s="14" t="str">
        <f aca="true">IF(AND(O20&lt;TODAY(),P20&lt;&gt;"Approved",P20&lt;&gt;"Live",P20&lt;&gt;"Not applicable"),"Overdue","")</f>
        <v/>
      </c>
      <c r="T20" s="14" t="str">
        <f aca="true">IF(S20="Overdue",TODAY()-O20,"")</f>
        <v/>
      </c>
    </row>
    <row r="21" customFormat="false" ht="23.85" hidden="false" customHeight="false" outlineLevel="0" collapsed="false">
      <c r="A21" s="14" t="s">
        <v>143</v>
      </c>
      <c r="B21" s="15" t="s">
        <v>144</v>
      </c>
      <c r="C21" s="14" t="s">
        <v>54</v>
      </c>
      <c r="D21" s="14" t="s">
        <v>126</v>
      </c>
      <c r="E21" s="14" t="s">
        <v>102</v>
      </c>
      <c r="F21" s="15" t="s">
        <v>49</v>
      </c>
      <c r="G21" s="14" t="s">
        <v>40</v>
      </c>
      <c r="H21" s="16" t="n">
        <v>46335</v>
      </c>
      <c r="I21" s="16" t="n">
        <v>46346</v>
      </c>
      <c r="J21" s="16" t="n">
        <v>46367</v>
      </c>
      <c r="K21" s="16" t="n">
        <v>46395</v>
      </c>
      <c r="L21" s="16" t="n">
        <v>46409</v>
      </c>
      <c r="M21" s="16" t="n">
        <v>46416</v>
      </c>
      <c r="N21" s="17"/>
      <c r="O21" s="16" t="n">
        <f aca="false">IF(N21&lt;&gt;"",N21,M21)</f>
        <v>46416</v>
      </c>
      <c r="P21" s="18" t="s">
        <v>31</v>
      </c>
      <c r="Q21" s="19" t="s">
        <v>145</v>
      </c>
      <c r="R21" s="19"/>
      <c r="S21" s="14" t="str">
        <f aca="true">IF(AND(O21&lt;TODAY(),P21&lt;&gt;"Approved",P21&lt;&gt;"Live",P21&lt;&gt;"Not applicable"),"Overdue","")</f>
        <v/>
      </c>
      <c r="T21" s="14" t="str">
        <f aca="true">IF(S21="Overdue",TODAY()-O21,"")</f>
        <v/>
      </c>
    </row>
    <row r="22" customFormat="false" ht="23.85" hidden="false" customHeight="false" outlineLevel="0" collapsed="false">
      <c r="A22" s="14" t="s">
        <v>146</v>
      </c>
      <c r="B22" s="15" t="s">
        <v>147</v>
      </c>
      <c r="C22" s="14" t="s">
        <v>54</v>
      </c>
      <c r="D22" s="14" t="s">
        <v>148</v>
      </c>
      <c r="E22" s="14" t="s">
        <v>102</v>
      </c>
      <c r="F22" s="15" t="s">
        <v>50</v>
      </c>
      <c r="G22" s="14" t="s">
        <v>40</v>
      </c>
      <c r="H22" s="16" t="n">
        <v>46335</v>
      </c>
      <c r="I22" s="16" t="n">
        <v>46346</v>
      </c>
      <c r="J22" s="16" t="n">
        <v>46367</v>
      </c>
      <c r="K22" s="16" t="n">
        <v>46395</v>
      </c>
      <c r="L22" s="16" t="n">
        <v>46409</v>
      </c>
      <c r="M22" s="16" t="n">
        <v>46416</v>
      </c>
      <c r="N22" s="17"/>
      <c r="O22" s="16" t="n">
        <f aca="false">IF(N22&lt;&gt;"",N22,M22)</f>
        <v>46416</v>
      </c>
      <c r="P22" s="18" t="s">
        <v>31</v>
      </c>
      <c r="Q22" s="19" t="s">
        <v>149</v>
      </c>
      <c r="R22" s="19"/>
      <c r="S22" s="14" t="str">
        <f aca="true">IF(AND(O22&lt;TODAY(),P22&lt;&gt;"Approved",P22&lt;&gt;"Live",P22&lt;&gt;"Not applicable"),"Overdue","")</f>
        <v/>
      </c>
      <c r="T22" s="14" t="str">
        <f aca="true">IF(S22="Overdue",TODAY()-O22,"")</f>
        <v/>
      </c>
    </row>
    <row r="23" customFormat="false" ht="23.85" hidden="false" customHeight="false" outlineLevel="0" collapsed="false">
      <c r="A23" s="14" t="s">
        <v>150</v>
      </c>
      <c r="B23" s="15" t="s">
        <v>151</v>
      </c>
      <c r="C23" s="14" t="s">
        <v>54</v>
      </c>
      <c r="D23" s="14" t="s">
        <v>148</v>
      </c>
      <c r="E23" s="14" t="s">
        <v>102</v>
      </c>
      <c r="F23" s="15" t="s">
        <v>50</v>
      </c>
      <c r="G23" s="14" t="s">
        <v>40</v>
      </c>
      <c r="H23" s="16" t="n">
        <v>46335</v>
      </c>
      <c r="I23" s="16" t="n">
        <v>46346</v>
      </c>
      <c r="J23" s="16" t="n">
        <v>46367</v>
      </c>
      <c r="K23" s="16" t="n">
        <v>46395</v>
      </c>
      <c r="L23" s="16" t="n">
        <v>46409</v>
      </c>
      <c r="M23" s="16" t="n">
        <v>46416</v>
      </c>
      <c r="N23" s="17"/>
      <c r="O23" s="16" t="n">
        <f aca="false">IF(N23&lt;&gt;"",N23,M23)</f>
        <v>46416</v>
      </c>
      <c r="P23" s="18" t="s">
        <v>31</v>
      </c>
      <c r="Q23" s="19" t="s">
        <v>152</v>
      </c>
      <c r="R23" s="19"/>
      <c r="S23" s="14" t="str">
        <f aca="true">IF(AND(O23&lt;TODAY(),P23&lt;&gt;"Approved",P23&lt;&gt;"Live",P23&lt;&gt;"Not applicable"),"Overdue","")</f>
        <v/>
      </c>
      <c r="T23" s="14" t="str">
        <f aca="true">IF(S23="Overdue",TODAY()-O23,"")</f>
        <v/>
      </c>
    </row>
    <row r="24" customFormat="false" ht="23.85" hidden="false" customHeight="false" outlineLevel="0" collapsed="false">
      <c r="A24" s="14" t="s">
        <v>153</v>
      </c>
      <c r="B24" s="15" t="s">
        <v>154</v>
      </c>
      <c r="C24" s="14" t="s">
        <v>54</v>
      </c>
      <c r="D24" s="14" t="s">
        <v>148</v>
      </c>
      <c r="E24" s="14" t="s">
        <v>102</v>
      </c>
      <c r="F24" s="15" t="s">
        <v>50</v>
      </c>
      <c r="G24" s="14" t="s">
        <v>40</v>
      </c>
      <c r="H24" s="16" t="n">
        <v>46335</v>
      </c>
      <c r="I24" s="16" t="n">
        <v>46346</v>
      </c>
      <c r="J24" s="16" t="n">
        <v>46367</v>
      </c>
      <c r="K24" s="16" t="n">
        <v>46395</v>
      </c>
      <c r="L24" s="16" t="n">
        <v>46409</v>
      </c>
      <c r="M24" s="16" t="n">
        <v>46416</v>
      </c>
      <c r="N24" s="17"/>
      <c r="O24" s="16" t="n">
        <f aca="false">IF(N24&lt;&gt;"",N24,M24)</f>
        <v>46416</v>
      </c>
      <c r="P24" s="18" t="s">
        <v>31</v>
      </c>
      <c r="Q24" s="19" t="s">
        <v>152</v>
      </c>
      <c r="R24" s="19"/>
      <c r="S24" s="14" t="str">
        <f aca="true">IF(AND(O24&lt;TODAY(),P24&lt;&gt;"Approved",P24&lt;&gt;"Live",P24&lt;&gt;"Not applicable"),"Overdue","")</f>
        <v/>
      </c>
      <c r="T24" s="14" t="str">
        <f aca="true">IF(S24="Overdue",TODAY()-O24,"")</f>
        <v/>
      </c>
    </row>
    <row r="25" customFormat="false" ht="23.85" hidden="false" customHeight="false" outlineLevel="0" collapsed="false">
      <c r="A25" s="14" t="s">
        <v>155</v>
      </c>
      <c r="B25" s="15" t="s">
        <v>156</v>
      </c>
      <c r="C25" s="14" t="s">
        <v>54</v>
      </c>
      <c r="D25" s="14" t="s">
        <v>148</v>
      </c>
      <c r="E25" s="14" t="s">
        <v>102</v>
      </c>
      <c r="F25" s="15" t="s">
        <v>50</v>
      </c>
      <c r="G25" s="14" t="s">
        <v>40</v>
      </c>
      <c r="H25" s="16" t="n">
        <v>46335</v>
      </c>
      <c r="I25" s="16" t="n">
        <v>46346</v>
      </c>
      <c r="J25" s="16" t="n">
        <v>46367</v>
      </c>
      <c r="K25" s="16" t="n">
        <v>46395</v>
      </c>
      <c r="L25" s="16" t="n">
        <v>46409</v>
      </c>
      <c r="M25" s="16" t="n">
        <v>46416</v>
      </c>
      <c r="N25" s="17"/>
      <c r="O25" s="16" t="n">
        <f aca="false">IF(N25&lt;&gt;"",N25,M25)</f>
        <v>46416</v>
      </c>
      <c r="P25" s="18" t="s">
        <v>31</v>
      </c>
      <c r="Q25" s="19" t="s">
        <v>157</v>
      </c>
      <c r="R25" s="19"/>
      <c r="S25" s="14" t="str">
        <f aca="true">IF(AND(O25&lt;TODAY(),P25&lt;&gt;"Approved",P25&lt;&gt;"Live",P25&lt;&gt;"Not applicable"),"Overdue","")</f>
        <v/>
      </c>
      <c r="T25" s="14" t="str">
        <f aca="true">IF(S25="Overdue",TODAY()-O25,"")</f>
        <v/>
      </c>
    </row>
    <row r="26" customFormat="false" ht="15" hidden="false" customHeight="false" outlineLevel="0" collapsed="false">
      <c r="A26" s="14" t="s">
        <v>158</v>
      </c>
      <c r="B26" s="15" t="s">
        <v>159</v>
      </c>
      <c r="C26" s="14" t="s">
        <v>54</v>
      </c>
      <c r="D26" s="14" t="s">
        <v>148</v>
      </c>
      <c r="E26" s="14" t="s">
        <v>102</v>
      </c>
      <c r="F26" s="15" t="s">
        <v>50</v>
      </c>
      <c r="G26" s="14" t="s">
        <v>40</v>
      </c>
      <c r="H26" s="16" t="n">
        <v>46335</v>
      </c>
      <c r="I26" s="16" t="n">
        <v>46346</v>
      </c>
      <c r="J26" s="16" t="n">
        <v>46367</v>
      </c>
      <c r="K26" s="16" t="n">
        <v>46395</v>
      </c>
      <c r="L26" s="16" t="n">
        <v>46409</v>
      </c>
      <c r="M26" s="16" t="n">
        <v>46416</v>
      </c>
      <c r="N26" s="17"/>
      <c r="O26" s="16" t="n">
        <f aca="false">IF(N26&lt;&gt;"",N26,M26)</f>
        <v>46416</v>
      </c>
      <c r="P26" s="18" t="s">
        <v>31</v>
      </c>
      <c r="Q26" s="19" t="s">
        <v>160</v>
      </c>
      <c r="R26" s="19"/>
      <c r="S26" s="14" t="str">
        <f aca="true">IF(AND(O26&lt;TODAY(),P26&lt;&gt;"Approved",P26&lt;&gt;"Live",P26&lt;&gt;"Not applicable"),"Overdue","")</f>
        <v/>
      </c>
      <c r="T26" s="14" t="str">
        <f aca="true">IF(S26="Overdue",TODAY()-O26,"")</f>
        <v/>
      </c>
    </row>
    <row r="27" customFormat="false" ht="15" hidden="false" customHeight="false" outlineLevel="0" collapsed="false">
      <c r="A27" s="14" t="s">
        <v>161</v>
      </c>
      <c r="B27" s="15" t="s">
        <v>162</v>
      </c>
      <c r="C27" s="14" t="s">
        <v>54</v>
      </c>
      <c r="D27" s="14" t="s">
        <v>163</v>
      </c>
      <c r="E27" s="14" t="s">
        <v>102</v>
      </c>
      <c r="F27" s="15" t="s">
        <v>48</v>
      </c>
      <c r="G27" s="14" t="s">
        <v>40</v>
      </c>
      <c r="H27" s="16" t="n">
        <v>46335</v>
      </c>
      <c r="I27" s="16" t="n">
        <v>46346</v>
      </c>
      <c r="J27" s="16" t="n">
        <v>46367</v>
      </c>
      <c r="K27" s="16" t="n">
        <v>46395</v>
      </c>
      <c r="L27" s="16" t="n">
        <v>46409</v>
      </c>
      <c r="M27" s="16" t="n">
        <v>46416</v>
      </c>
      <c r="N27" s="17"/>
      <c r="O27" s="16" t="n">
        <f aca="false">IF(N27&lt;&gt;"",N27,M27)</f>
        <v>46416</v>
      </c>
      <c r="P27" s="18" t="s">
        <v>31</v>
      </c>
      <c r="Q27" s="19" t="s">
        <v>164</v>
      </c>
      <c r="R27" s="19"/>
      <c r="S27" s="14" t="str">
        <f aca="true">IF(AND(O27&lt;TODAY(),P27&lt;&gt;"Approved",P27&lt;&gt;"Live",P27&lt;&gt;"Not applicable"),"Overdue","")</f>
        <v/>
      </c>
      <c r="T27" s="14" t="str">
        <f aca="true">IF(S27="Overdue",TODAY()-O27,"")</f>
        <v/>
      </c>
    </row>
    <row r="28" customFormat="false" ht="23.85" hidden="false" customHeight="false" outlineLevel="0" collapsed="false">
      <c r="A28" s="14" t="s">
        <v>165</v>
      </c>
      <c r="B28" s="15" t="s">
        <v>166</v>
      </c>
      <c r="C28" s="14" t="s">
        <v>54</v>
      </c>
      <c r="D28" s="14" t="s">
        <v>163</v>
      </c>
      <c r="E28" s="14" t="s">
        <v>116</v>
      </c>
      <c r="F28" s="15" t="s">
        <v>48</v>
      </c>
      <c r="G28" s="14" t="s">
        <v>40</v>
      </c>
      <c r="H28" s="16" t="n">
        <v>46335</v>
      </c>
      <c r="I28" s="16" t="n">
        <v>46346</v>
      </c>
      <c r="J28" s="16" t="n">
        <v>46367</v>
      </c>
      <c r="K28" s="16" t="n">
        <v>46395</v>
      </c>
      <c r="L28" s="16" t="n">
        <v>46409</v>
      </c>
      <c r="M28" s="16" t="n">
        <v>46416</v>
      </c>
      <c r="N28" s="17"/>
      <c r="O28" s="16" t="n">
        <f aca="false">IF(N28&lt;&gt;"",N28,M28)</f>
        <v>46416</v>
      </c>
      <c r="P28" s="18" t="s">
        <v>31</v>
      </c>
      <c r="Q28" s="19" t="s">
        <v>167</v>
      </c>
      <c r="R28" s="19"/>
      <c r="S28" s="14" t="str">
        <f aca="true">IF(AND(O28&lt;TODAY(),P28&lt;&gt;"Approved",P28&lt;&gt;"Live",P28&lt;&gt;"Not applicable"),"Overdue","")</f>
        <v/>
      </c>
      <c r="T28" s="14" t="str">
        <f aca="true">IF(S28="Overdue",TODAY()-O28,"")</f>
        <v/>
      </c>
    </row>
    <row r="29" customFormat="false" ht="15" hidden="false" customHeight="false" outlineLevel="0" collapsed="false">
      <c r="A29" s="14" t="s">
        <v>168</v>
      </c>
      <c r="B29" s="15" t="s">
        <v>169</v>
      </c>
      <c r="C29" s="14" t="s">
        <v>54</v>
      </c>
      <c r="D29" s="14" t="s">
        <v>170</v>
      </c>
      <c r="E29" s="14" t="s">
        <v>102</v>
      </c>
      <c r="F29" s="15" t="s">
        <v>51</v>
      </c>
      <c r="G29" s="14" t="s">
        <v>40</v>
      </c>
      <c r="H29" s="16" t="n">
        <v>46335</v>
      </c>
      <c r="I29" s="16" t="n">
        <v>46346</v>
      </c>
      <c r="J29" s="16" t="n">
        <v>46367</v>
      </c>
      <c r="K29" s="16" t="n">
        <v>46395</v>
      </c>
      <c r="L29" s="16" t="n">
        <v>46409</v>
      </c>
      <c r="M29" s="16" t="n">
        <v>46416</v>
      </c>
      <c r="N29" s="17"/>
      <c r="O29" s="16" t="n">
        <f aca="false">IF(N29&lt;&gt;"",N29,M29)</f>
        <v>46416</v>
      </c>
      <c r="P29" s="18" t="s">
        <v>31</v>
      </c>
      <c r="Q29" s="19" t="s">
        <v>171</v>
      </c>
      <c r="R29" s="19"/>
      <c r="S29" s="14" t="str">
        <f aca="true">IF(AND(O29&lt;TODAY(),P29&lt;&gt;"Approved",P29&lt;&gt;"Live",P29&lt;&gt;"Not applicable"),"Overdue","")</f>
        <v/>
      </c>
      <c r="T29" s="14" t="str">
        <f aca="true">IF(S29="Overdue",TODAY()-O29,"")</f>
        <v/>
      </c>
    </row>
    <row r="30" customFormat="false" ht="23.85" hidden="false" customHeight="false" outlineLevel="0" collapsed="false">
      <c r="A30" s="14" t="s">
        <v>172</v>
      </c>
      <c r="B30" s="15" t="s">
        <v>173</v>
      </c>
      <c r="C30" s="14" t="s">
        <v>54</v>
      </c>
      <c r="D30" s="14" t="s">
        <v>170</v>
      </c>
      <c r="E30" s="14" t="s">
        <v>102</v>
      </c>
      <c r="F30" s="15" t="s">
        <v>51</v>
      </c>
      <c r="G30" s="14" t="s">
        <v>40</v>
      </c>
      <c r="H30" s="16" t="n">
        <v>46335</v>
      </c>
      <c r="I30" s="16" t="n">
        <v>46346</v>
      </c>
      <c r="J30" s="16" t="n">
        <v>46367</v>
      </c>
      <c r="K30" s="16" t="n">
        <v>46395</v>
      </c>
      <c r="L30" s="16" t="n">
        <v>46409</v>
      </c>
      <c r="M30" s="16" t="n">
        <v>46416</v>
      </c>
      <c r="N30" s="17"/>
      <c r="O30" s="16" t="n">
        <f aca="false">IF(N30&lt;&gt;"",N30,M30)</f>
        <v>46416</v>
      </c>
      <c r="P30" s="18" t="s">
        <v>31</v>
      </c>
      <c r="Q30" s="19" t="s">
        <v>174</v>
      </c>
      <c r="R30" s="19"/>
      <c r="S30" s="14" t="str">
        <f aca="true">IF(AND(O30&lt;TODAY(),P30&lt;&gt;"Approved",P30&lt;&gt;"Live",P30&lt;&gt;"Not applicable"),"Overdue","")</f>
        <v/>
      </c>
      <c r="T30" s="14" t="str">
        <f aca="true">IF(S30="Overdue",TODAY()-O30,"")</f>
        <v/>
      </c>
    </row>
    <row r="31" customFormat="false" ht="23.85" hidden="false" customHeight="false" outlineLevel="0" collapsed="false">
      <c r="A31" s="14" t="s">
        <v>175</v>
      </c>
      <c r="B31" s="15" t="s">
        <v>176</v>
      </c>
      <c r="C31" s="14" t="s">
        <v>54</v>
      </c>
      <c r="D31" s="14" t="s">
        <v>170</v>
      </c>
      <c r="E31" s="14" t="s">
        <v>116</v>
      </c>
      <c r="F31" s="15" t="s">
        <v>51</v>
      </c>
      <c r="G31" s="14" t="s">
        <v>40</v>
      </c>
      <c r="H31" s="16" t="n">
        <v>46335</v>
      </c>
      <c r="I31" s="16" t="n">
        <v>46346</v>
      </c>
      <c r="J31" s="16" t="n">
        <v>46367</v>
      </c>
      <c r="K31" s="16" t="n">
        <v>46395</v>
      </c>
      <c r="L31" s="16" t="n">
        <v>46409</v>
      </c>
      <c r="M31" s="16" t="n">
        <v>46416</v>
      </c>
      <c r="N31" s="17"/>
      <c r="O31" s="16" t="n">
        <f aca="false">IF(N31&lt;&gt;"",N31,M31)</f>
        <v>46416</v>
      </c>
      <c r="P31" s="18" t="s">
        <v>31</v>
      </c>
      <c r="Q31" s="19" t="s">
        <v>177</v>
      </c>
      <c r="R31" s="19"/>
      <c r="S31" s="14" t="str">
        <f aca="true">IF(AND(O31&lt;TODAY(),P31&lt;&gt;"Approved",P31&lt;&gt;"Live",P31&lt;&gt;"Not applicable"),"Overdue","")</f>
        <v/>
      </c>
      <c r="T31" s="14" t="str">
        <f aca="true">IF(S31="Overdue",TODAY()-O31,"")</f>
        <v/>
      </c>
    </row>
    <row r="32" customFormat="false" ht="23.85" hidden="false" customHeight="false" outlineLevel="0" collapsed="false">
      <c r="A32" s="14" t="s">
        <v>178</v>
      </c>
      <c r="B32" s="15" t="s">
        <v>179</v>
      </c>
      <c r="C32" s="14" t="s">
        <v>54</v>
      </c>
      <c r="D32" s="14" t="s">
        <v>170</v>
      </c>
      <c r="E32" s="14" t="s">
        <v>102</v>
      </c>
      <c r="F32" s="15" t="s">
        <v>51</v>
      </c>
      <c r="G32" s="14" t="s">
        <v>40</v>
      </c>
      <c r="H32" s="16" t="n">
        <v>46335</v>
      </c>
      <c r="I32" s="16" t="n">
        <v>46346</v>
      </c>
      <c r="J32" s="16" t="n">
        <v>46367</v>
      </c>
      <c r="K32" s="16" t="n">
        <v>46395</v>
      </c>
      <c r="L32" s="16" t="n">
        <v>46409</v>
      </c>
      <c r="M32" s="16" t="n">
        <v>46416</v>
      </c>
      <c r="N32" s="17"/>
      <c r="O32" s="16" t="n">
        <f aca="false">IF(N32&lt;&gt;"",N32,M32)</f>
        <v>46416</v>
      </c>
      <c r="P32" s="18" t="s">
        <v>31</v>
      </c>
      <c r="Q32" s="19" t="s">
        <v>180</v>
      </c>
      <c r="R32" s="19"/>
      <c r="S32" s="14" t="str">
        <f aca="true">IF(AND(O32&lt;TODAY(),P32&lt;&gt;"Approved",P32&lt;&gt;"Live",P32&lt;&gt;"Not applicable"),"Overdue","")</f>
        <v/>
      </c>
      <c r="T32" s="14" t="str">
        <f aca="true">IF(S32="Overdue",TODAY()-O32,"")</f>
        <v/>
      </c>
    </row>
    <row r="33" customFormat="false" ht="23.85" hidden="false" customHeight="false" outlineLevel="0" collapsed="false">
      <c r="A33" s="14" t="s">
        <v>181</v>
      </c>
      <c r="B33" s="15" t="s">
        <v>182</v>
      </c>
      <c r="C33" s="14" t="s">
        <v>54</v>
      </c>
      <c r="D33" s="14" t="s">
        <v>170</v>
      </c>
      <c r="E33" s="14" t="s">
        <v>102</v>
      </c>
      <c r="F33" s="15" t="s">
        <v>51</v>
      </c>
      <c r="G33" s="14" t="s">
        <v>40</v>
      </c>
      <c r="H33" s="16" t="n">
        <v>46335</v>
      </c>
      <c r="I33" s="16" t="n">
        <v>46346</v>
      </c>
      <c r="J33" s="16" t="n">
        <v>46367</v>
      </c>
      <c r="K33" s="16" t="n">
        <v>46395</v>
      </c>
      <c r="L33" s="16" t="n">
        <v>46409</v>
      </c>
      <c r="M33" s="16" t="n">
        <v>46416</v>
      </c>
      <c r="N33" s="17"/>
      <c r="O33" s="16" t="n">
        <f aca="false">IF(N33&lt;&gt;"",N33,M33)</f>
        <v>46416</v>
      </c>
      <c r="P33" s="18" t="s">
        <v>31</v>
      </c>
      <c r="Q33" s="19" t="s">
        <v>183</v>
      </c>
      <c r="R33" s="19"/>
      <c r="S33" s="14" t="str">
        <f aca="true">IF(AND(O33&lt;TODAY(),P33&lt;&gt;"Approved",P33&lt;&gt;"Live",P33&lt;&gt;"Not applicable"),"Overdue","")</f>
        <v/>
      </c>
      <c r="T33" s="14" t="str">
        <f aca="true">IF(S33="Overdue",TODAY()-O33,"")</f>
        <v/>
      </c>
    </row>
    <row r="34" customFormat="false" ht="15" hidden="false" customHeight="false" outlineLevel="0" collapsed="false">
      <c r="A34" s="14" t="s">
        <v>184</v>
      </c>
      <c r="B34" s="15" t="s">
        <v>185</v>
      </c>
      <c r="C34" s="14" t="s">
        <v>54</v>
      </c>
      <c r="D34" s="14" t="s">
        <v>186</v>
      </c>
      <c r="E34" s="14" t="s">
        <v>102</v>
      </c>
      <c r="F34" s="15" t="s">
        <v>51</v>
      </c>
      <c r="G34" s="14" t="s">
        <v>40</v>
      </c>
      <c r="H34" s="16" t="n">
        <v>46335</v>
      </c>
      <c r="I34" s="16" t="n">
        <v>46346</v>
      </c>
      <c r="J34" s="16" t="n">
        <v>46367</v>
      </c>
      <c r="K34" s="16" t="n">
        <v>46395</v>
      </c>
      <c r="L34" s="16" t="n">
        <v>46409</v>
      </c>
      <c r="M34" s="16" t="n">
        <v>46416</v>
      </c>
      <c r="N34" s="17"/>
      <c r="O34" s="16" t="n">
        <f aca="false">IF(N34&lt;&gt;"",N34,M34)</f>
        <v>46416</v>
      </c>
      <c r="P34" s="18" t="s">
        <v>31</v>
      </c>
      <c r="Q34" s="19" t="s">
        <v>187</v>
      </c>
      <c r="R34" s="19"/>
      <c r="S34" s="14" t="str">
        <f aca="true">IF(AND(O34&lt;TODAY(),P34&lt;&gt;"Approved",P34&lt;&gt;"Live",P34&lt;&gt;"Not applicable"),"Overdue","")</f>
        <v/>
      </c>
      <c r="T34" s="14" t="str">
        <f aca="true">IF(S34="Overdue",TODAY()-O34,"")</f>
        <v/>
      </c>
    </row>
    <row r="35" customFormat="false" ht="23.85" hidden="false" customHeight="false" outlineLevel="0" collapsed="false">
      <c r="A35" s="14" t="s">
        <v>188</v>
      </c>
      <c r="B35" s="15" t="s">
        <v>189</v>
      </c>
      <c r="C35" s="14" t="s">
        <v>54</v>
      </c>
      <c r="D35" s="14" t="s">
        <v>190</v>
      </c>
      <c r="E35" s="14" t="s">
        <v>102</v>
      </c>
      <c r="F35" s="15" t="s">
        <v>48</v>
      </c>
      <c r="G35" s="14" t="s">
        <v>40</v>
      </c>
      <c r="H35" s="16" t="n">
        <v>46335</v>
      </c>
      <c r="I35" s="16" t="n">
        <v>46346</v>
      </c>
      <c r="J35" s="16" t="n">
        <v>46367</v>
      </c>
      <c r="K35" s="16" t="n">
        <v>46395</v>
      </c>
      <c r="L35" s="16" t="n">
        <v>46409</v>
      </c>
      <c r="M35" s="16" t="n">
        <v>46416</v>
      </c>
      <c r="N35" s="17"/>
      <c r="O35" s="16" t="n">
        <f aca="false">IF(N35&lt;&gt;"",N35,M35)</f>
        <v>46416</v>
      </c>
      <c r="P35" s="18" t="s">
        <v>31</v>
      </c>
      <c r="Q35" s="19" t="s">
        <v>191</v>
      </c>
      <c r="R35" s="19"/>
      <c r="S35" s="14" t="str">
        <f aca="true">IF(AND(O35&lt;TODAY(),P35&lt;&gt;"Approved",P35&lt;&gt;"Live",P35&lt;&gt;"Not applicable"),"Overdue","")</f>
        <v/>
      </c>
      <c r="T35" s="14" t="str">
        <f aca="true">IF(S35="Overdue",TODAY()-O35,"")</f>
        <v/>
      </c>
    </row>
    <row r="36" customFormat="false" ht="23.85" hidden="false" customHeight="false" outlineLevel="0" collapsed="false">
      <c r="A36" s="14" t="s">
        <v>192</v>
      </c>
      <c r="B36" s="15" t="s">
        <v>193</v>
      </c>
      <c r="C36" s="14" t="s">
        <v>54</v>
      </c>
      <c r="D36" s="14" t="s">
        <v>190</v>
      </c>
      <c r="E36" s="14" t="s">
        <v>102</v>
      </c>
      <c r="F36" s="15" t="s">
        <v>48</v>
      </c>
      <c r="G36" s="14" t="s">
        <v>40</v>
      </c>
      <c r="H36" s="16" t="n">
        <v>46335</v>
      </c>
      <c r="I36" s="16" t="n">
        <v>46346</v>
      </c>
      <c r="J36" s="16" t="n">
        <v>46367</v>
      </c>
      <c r="K36" s="16" t="n">
        <v>46395</v>
      </c>
      <c r="L36" s="16" t="n">
        <v>46409</v>
      </c>
      <c r="M36" s="16" t="n">
        <v>46416</v>
      </c>
      <c r="N36" s="17"/>
      <c r="O36" s="16" t="n">
        <f aca="false">IF(N36&lt;&gt;"",N36,M36)</f>
        <v>46416</v>
      </c>
      <c r="P36" s="18" t="s">
        <v>31</v>
      </c>
      <c r="Q36" s="19" t="s">
        <v>194</v>
      </c>
      <c r="R36" s="19"/>
      <c r="S36" s="14" t="str">
        <f aca="true">IF(AND(O36&lt;TODAY(),P36&lt;&gt;"Approved",P36&lt;&gt;"Live",P36&lt;&gt;"Not applicable"),"Overdue","")</f>
        <v/>
      </c>
      <c r="T36" s="14" t="str">
        <f aca="true">IF(S36="Overdue",TODAY()-O36,"")</f>
        <v/>
      </c>
    </row>
    <row r="37" customFormat="false" ht="23.85" hidden="false" customHeight="false" outlineLevel="0" collapsed="false">
      <c r="A37" s="14" t="s">
        <v>195</v>
      </c>
      <c r="B37" s="15" t="s">
        <v>196</v>
      </c>
      <c r="C37" s="14" t="s">
        <v>54</v>
      </c>
      <c r="D37" s="14" t="s">
        <v>190</v>
      </c>
      <c r="E37" s="14" t="s">
        <v>116</v>
      </c>
      <c r="F37" s="15" t="s">
        <v>48</v>
      </c>
      <c r="G37" s="14" t="s">
        <v>40</v>
      </c>
      <c r="H37" s="16" t="n">
        <v>46335</v>
      </c>
      <c r="I37" s="16" t="n">
        <v>46346</v>
      </c>
      <c r="J37" s="16" t="n">
        <v>46367</v>
      </c>
      <c r="K37" s="16" t="n">
        <v>46395</v>
      </c>
      <c r="L37" s="16" t="n">
        <v>46409</v>
      </c>
      <c r="M37" s="16" t="n">
        <v>46416</v>
      </c>
      <c r="N37" s="17"/>
      <c r="O37" s="16" t="n">
        <f aca="false">IF(N37&lt;&gt;"",N37,M37)</f>
        <v>46416</v>
      </c>
      <c r="P37" s="18" t="s">
        <v>31</v>
      </c>
      <c r="Q37" s="19" t="s">
        <v>197</v>
      </c>
      <c r="R37" s="19"/>
      <c r="S37" s="14" t="str">
        <f aca="true">IF(AND(O37&lt;TODAY(),P37&lt;&gt;"Approved",P37&lt;&gt;"Live",P37&lt;&gt;"Not applicable"),"Overdue","")</f>
        <v/>
      </c>
      <c r="T37" s="14" t="str">
        <f aca="true">IF(S37="Overdue",TODAY()-O37,"")</f>
        <v/>
      </c>
    </row>
    <row r="38" customFormat="false" ht="15" hidden="false" customHeight="false" outlineLevel="0" collapsed="false">
      <c r="A38" s="14" t="s">
        <v>198</v>
      </c>
      <c r="B38" s="15" t="s">
        <v>199</v>
      </c>
      <c r="C38" s="14" t="s">
        <v>58</v>
      </c>
      <c r="D38" s="14" t="s">
        <v>126</v>
      </c>
      <c r="E38" s="14" t="s">
        <v>102</v>
      </c>
      <c r="F38" s="15" t="s">
        <v>49</v>
      </c>
      <c r="G38" s="14" t="s">
        <v>40</v>
      </c>
      <c r="H38" s="16" t="n">
        <v>46335</v>
      </c>
      <c r="I38" s="16" t="n">
        <v>46346</v>
      </c>
      <c r="J38" s="16" t="n">
        <v>46367</v>
      </c>
      <c r="K38" s="16" t="n">
        <v>46395</v>
      </c>
      <c r="L38" s="16" t="n">
        <v>46409</v>
      </c>
      <c r="M38" s="16" t="n">
        <v>46416</v>
      </c>
      <c r="N38" s="17"/>
      <c r="O38" s="16" t="n">
        <f aca="false">IF(N38&lt;&gt;"",N38,M38)</f>
        <v>46416</v>
      </c>
      <c r="P38" s="18" t="s">
        <v>31</v>
      </c>
      <c r="Q38" s="19" t="s">
        <v>200</v>
      </c>
      <c r="R38" s="19"/>
      <c r="S38" s="14" t="str">
        <f aca="true">IF(AND(O38&lt;TODAY(),P38&lt;&gt;"Approved",P38&lt;&gt;"Live",P38&lt;&gt;"Not applicable"),"Overdue","")</f>
        <v/>
      </c>
      <c r="T38" s="14" t="str">
        <f aca="true">IF(S38="Overdue",TODAY()-O38,"")</f>
        <v/>
      </c>
    </row>
    <row r="39" customFormat="false" ht="23.85" hidden="false" customHeight="false" outlineLevel="0" collapsed="false">
      <c r="A39" s="14" t="s">
        <v>201</v>
      </c>
      <c r="B39" s="15" t="s">
        <v>202</v>
      </c>
      <c r="C39" s="14" t="s">
        <v>58</v>
      </c>
      <c r="D39" s="14" t="s">
        <v>203</v>
      </c>
      <c r="E39" s="14" t="s">
        <v>102</v>
      </c>
      <c r="F39" s="15" t="s">
        <v>49</v>
      </c>
      <c r="G39" s="14" t="s">
        <v>40</v>
      </c>
      <c r="H39" s="16" t="n">
        <v>46335</v>
      </c>
      <c r="I39" s="16" t="n">
        <v>46346</v>
      </c>
      <c r="J39" s="16" t="n">
        <v>46367</v>
      </c>
      <c r="K39" s="16" t="n">
        <v>46395</v>
      </c>
      <c r="L39" s="16" t="n">
        <v>46409</v>
      </c>
      <c r="M39" s="16" t="n">
        <v>46416</v>
      </c>
      <c r="N39" s="17"/>
      <c r="O39" s="16" t="n">
        <f aca="false">IF(N39&lt;&gt;"",N39,M39)</f>
        <v>46416</v>
      </c>
      <c r="P39" s="18" t="s">
        <v>31</v>
      </c>
      <c r="Q39" s="19" t="s">
        <v>204</v>
      </c>
      <c r="R39" s="19"/>
      <c r="S39" s="14" t="str">
        <f aca="true">IF(AND(O39&lt;TODAY(),P39&lt;&gt;"Approved",P39&lt;&gt;"Live",P39&lt;&gt;"Not applicable"),"Overdue","")</f>
        <v/>
      </c>
      <c r="T39" s="14" t="str">
        <f aca="true">IF(S39="Overdue",TODAY()-O39,"")</f>
        <v/>
      </c>
    </row>
    <row r="40" customFormat="false" ht="23.85" hidden="false" customHeight="false" outlineLevel="0" collapsed="false">
      <c r="A40" s="14" t="s">
        <v>205</v>
      </c>
      <c r="B40" s="15" t="s">
        <v>206</v>
      </c>
      <c r="C40" s="14" t="s">
        <v>61</v>
      </c>
      <c r="D40" s="14" t="s">
        <v>203</v>
      </c>
      <c r="E40" s="14" t="s">
        <v>102</v>
      </c>
      <c r="F40" s="15" t="s">
        <v>49</v>
      </c>
      <c r="G40" s="14" t="s">
        <v>40</v>
      </c>
      <c r="H40" s="16" t="n">
        <v>46335</v>
      </c>
      <c r="I40" s="16" t="n">
        <v>46346</v>
      </c>
      <c r="J40" s="16" t="n">
        <v>46367</v>
      </c>
      <c r="K40" s="16" t="n">
        <v>46395</v>
      </c>
      <c r="L40" s="16" t="n">
        <v>46409</v>
      </c>
      <c r="M40" s="16" t="n">
        <v>46416</v>
      </c>
      <c r="N40" s="17"/>
      <c r="O40" s="16" t="n">
        <f aca="false">IF(N40&lt;&gt;"",N40,M40)</f>
        <v>46416</v>
      </c>
      <c r="P40" s="18" t="s">
        <v>31</v>
      </c>
      <c r="Q40" s="19" t="s">
        <v>207</v>
      </c>
      <c r="R40" s="19"/>
      <c r="S40" s="14" t="str">
        <f aca="true">IF(AND(O40&lt;TODAY(),P40&lt;&gt;"Approved",P40&lt;&gt;"Live",P40&lt;&gt;"Not applicable"),"Overdue","")</f>
        <v/>
      </c>
      <c r="T40" s="14" t="str">
        <f aca="true">IF(S40="Overdue",TODAY()-O40,"")</f>
        <v/>
      </c>
    </row>
    <row r="41" customFormat="false" ht="15" hidden="false" customHeight="false" outlineLevel="0" collapsed="false">
      <c r="A41" s="14" t="s">
        <v>208</v>
      </c>
      <c r="B41" s="15" t="s">
        <v>209</v>
      </c>
      <c r="C41" s="14" t="s">
        <v>58</v>
      </c>
      <c r="D41" s="14" t="s">
        <v>186</v>
      </c>
      <c r="E41" s="14" t="s">
        <v>102</v>
      </c>
      <c r="F41" s="15" t="s">
        <v>51</v>
      </c>
      <c r="G41" s="14" t="s">
        <v>40</v>
      </c>
      <c r="H41" s="16" t="n">
        <v>46335</v>
      </c>
      <c r="I41" s="16" t="n">
        <v>46346</v>
      </c>
      <c r="J41" s="16" t="n">
        <v>46367</v>
      </c>
      <c r="K41" s="16" t="n">
        <v>46395</v>
      </c>
      <c r="L41" s="16" t="n">
        <v>46409</v>
      </c>
      <c r="M41" s="16" t="n">
        <v>46416</v>
      </c>
      <c r="N41" s="17"/>
      <c r="O41" s="16" t="n">
        <f aca="false">IF(N41&lt;&gt;"",N41,M41)</f>
        <v>46416</v>
      </c>
      <c r="P41" s="18" t="s">
        <v>31</v>
      </c>
      <c r="Q41" s="19" t="s">
        <v>210</v>
      </c>
      <c r="R41" s="19"/>
      <c r="S41" s="14" t="str">
        <f aca="true">IF(AND(O41&lt;TODAY(),P41&lt;&gt;"Approved",P41&lt;&gt;"Live",P41&lt;&gt;"Not applicable"),"Overdue","")</f>
        <v/>
      </c>
      <c r="T41" s="14" t="str">
        <f aca="true">IF(S41="Overdue",TODAY()-O41,"")</f>
        <v/>
      </c>
    </row>
    <row r="42" customFormat="false" ht="23.85" hidden="false" customHeight="false" outlineLevel="0" collapsed="false">
      <c r="A42" s="14" t="s">
        <v>211</v>
      </c>
      <c r="B42" s="15" t="s">
        <v>212</v>
      </c>
      <c r="C42" s="14" t="s">
        <v>58</v>
      </c>
      <c r="D42" s="14" t="s">
        <v>186</v>
      </c>
      <c r="E42" s="14" t="s">
        <v>102</v>
      </c>
      <c r="F42" s="15" t="s">
        <v>51</v>
      </c>
      <c r="G42" s="14" t="s">
        <v>40</v>
      </c>
      <c r="H42" s="16" t="n">
        <v>46335</v>
      </c>
      <c r="I42" s="16" t="n">
        <v>46346</v>
      </c>
      <c r="J42" s="16" t="n">
        <v>46367</v>
      </c>
      <c r="K42" s="16" t="n">
        <v>46395</v>
      </c>
      <c r="L42" s="16" t="n">
        <v>46409</v>
      </c>
      <c r="M42" s="16" t="n">
        <v>46416</v>
      </c>
      <c r="N42" s="17"/>
      <c r="O42" s="16" t="n">
        <f aca="false">IF(N42&lt;&gt;"",N42,M42)</f>
        <v>46416</v>
      </c>
      <c r="P42" s="18" t="s">
        <v>31</v>
      </c>
      <c r="Q42" s="19" t="s">
        <v>213</v>
      </c>
      <c r="R42" s="19"/>
      <c r="S42" s="14" t="str">
        <f aca="true">IF(AND(O42&lt;TODAY(),P42&lt;&gt;"Approved",P42&lt;&gt;"Live",P42&lt;&gt;"Not applicable"),"Overdue","")</f>
        <v/>
      </c>
      <c r="T42" s="14" t="str">
        <f aca="true">IF(S42="Overdue",TODAY()-O42,"")</f>
        <v/>
      </c>
    </row>
    <row r="43" customFormat="false" ht="23.85" hidden="false" customHeight="false" outlineLevel="0" collapsed="false">
      <c r="A43" s="14" t="s">
        <v>214</v>
      </c>
      <c r="B43" s="15" t="s">
        <v>215</v>
      </c>
      <c r="C43" s="14" t="s">
        <v>61</v>
      </c>
      <c r="D43" s="14" t="s">
        <v>190</v>
      </c>
      <c r="E43" s="14" t="s">
        <v>102</v>
      </c>
      <c r="F43" s="15" t="s">
        <v>48</v>
      </c>
      <c r="G43" s="14" t="s">
        <v>40</v>
      </c>
      <c r="H43" s="16" t="n">
        <v>46335</v>
      </c>
      <c r="I43" s="16" t="n">
        <v>46346</v>
      </c>
      <c r="J43" s="16" t="n">
        <v>46367</v>
      </c>
      <c r="K43" s="16" t="n">
        <v>46395</v>
      </c>
      <c r="L43" s="16" t="n">
        <v>46409</v>
      </c>
      <c r="M43" s="16" t="n">
        <v>46416</v>
      </c>
      <c r="N43" s="17"/>
      <c r="O43" s="16" t="n">
        <f aca="false">IF(N43&lt;&gt;"",N43,M43)</f>
        <v>46416</v>
      </c>
      <c r="P43" s="18" t="s">
        <v>31</v>
      </c>
      <c r="Q43" s="19" t="s">
        <v>216</v>
      </c>
      <c r="R43" s="19"/>
      <c r="S43" s="14" t="str">
        <f aca="true">IF(AND(O43&lt;TODAY(),P43&lt;&gt;"Approved",P43&lt;&gt;"Live",P43&lt;&gt;"Not applicable"),"Overdue","")</f>
        <v/>
      </c>
      <c r="T43" s="14" t="str">
        <f aca="true">IF(S43="Overdue",TODAY()-O43,"")</f>
        <v/>
      </c>
    </row>
    <row r="44" customFormat="false" ht="15" hidden="false" customHeight="false" outlineLevel="0" collapsed="false">
      <c r="A44" s="14" t="s">
        <v>217</v>
      </c>
      <c r="B44" s="15" t="s">
        <v>218</v>
      </c>
      <c r="C44" s="14" t="s">
        <v>58</v>
      </c>
      <c r="D44" s="14" t="s">
        <v>126</v>
      </c>
      <c r="E44" s="14" t="s">
        <v>102</v>
      </c>
      <c r="F44" s="15" t="s">
        <v>49</v>
      </c>
      <c r="G44" s="14" t="s">
        <v>40</v>
      </c>
      <c r="H44" s="16" t="n">
        <v>46335</v>
      </c>
      <c r="I44" s="16" t="n">
        <v>46346</v>
      </c>
      <c r="J44" s="16" t="n">
        <v>46367</v>
      </c>
      <c r="K44" s="16" t="n">
        <v>46395</v>
      </c>
      <c r="L44" s="16" t="n">
        <v>46409</v>
      </c>
      <c r="M44" s="16" t="n">
        <v>46416</v>
      </c>
      <c r="N44" s="17"/>
      <c r="O44" s="16" t="n">
        <f aca="false">IF(N44&lt;&gt;"",N44,M44)</f>
        <v>46416</v>
      </c>
      <c r="P44" s="18" t="s">
        <v>31</v>
      </c>
      <c r="Q44" s="19" t="s">
        <v>219</v>
      </c>
      <c r="R44" s="19"/>
      <c r="S44" s="14" t="str">
        <f aca="true">IF(AND(O44&lt;TODAY(),P44&lt;&gt;"Approved",P44&lt;&gt;"Live",P44&lt;&gt;"Not applicable"),"Overdue","")</f>
        <v/>
      </c>
      <c r="T44" s="14" t="str">
        <f aca="true">IF(S44="Overdue",TODAY()-O44,"")</f>
        <v/>
      </c>
    </row>
    <row r="45" customFormat="false" ht="23.85" hidden="false" customHeight="false" outlineLevel="0" collapsed="false">
      <c r="A45" s="14" t="s">
        <v>220</v>
      </c>
      <c r="B45" s="15" t="s">
        <v>221</v>
      </c>
      <c r="C45" s="14" t="s">
        <v>58</v>
      </c>
      <c r="D45" s="14" t="s">
        <v>222</v>
      </c>
      <c r="E45" s="14" t="s">
        <v>102</v>
      </c>
      <c r="F45" s="15" t="s">
        <v>48</v>
      </c>
      <c r="G45" s="14" t="s">
        <v>40</v>
      </c>
      <c r="H45" s="16" t="n">
        <v>46335</v>
      </c>
      <c r="I45" s="16" t="n">
        <v>46346</v>
      </c>
      <c r="J45" s="16" t="n">
        <v>46367</v>
      </c>
      <c r="K45" s="16" t="n">
        <v>46395</v>
      </c>
      <c r="L45" s="16" t="n">
        <v>46409</v>
      </c>
      <c r="M45" s="16" t="n">
        <v>46416</v>
      </c>
      <c r="N45" s="17"/>
      <c r="O45" s="16" t="n">
        <f aca="false">IF(N45&lt;&gt;"",N45,M45)</f>
        <v>46416</v>
      </c>
      <c r="P45" s="18" t="s">
        <v>31</v>
      </c>
      <c r="Q45" s="19" t="s">
        <v>223</v>
      </c>
      <c r="R45" s="19"/>
      <c r="S45" s="14" t="str">
        <f aca="true">IF(AND(O45&lt;TODAY(),P45&lt;&gt;"Approved",P45&lt;&gt;"Live",P45&lt;&gt;"Not applicable"),"Overdue","")</f>
        <v/>
      </c>
      <c r="T45" s="14" t="str">
        <f aca="true">IF(S45="Overdue",TODAY()-O45,"")</f>
        <v/>
      </c>
    </row>
    <row r="46" customFormat="false" ht="57.45" hidden="false" customHeight="false" outlineLevel="0" collapsed="false">
      <c r="A46" s="14" t="s">
        <v>224</v>
      </c>
      <c r="B46" s="15" t="s">
        <v>225</v>
      </c>
      <c r="C46" s="14" t="s">
        <v>55</v>
      </c>
      <c r="D46" s="14" t="s">
        <v>126</v>
      </c>
      <c r="E46" s="14" t="s">
        <v>102</v>
      </c>
      <c r="F46" s="15" t="s">
        <v>49</v>
      </c>
      <c r="G46" s="14" t="s">
        <v>40</v>
      </c>
      <c r="H46" s="16" t="n">
        <v>46342</v>
      </c>
      <c r="I46" s="16" t="n">
        <v>46353</v>
      </c>
      <c r="J46" s="16" t="n">
        <v>46374</v>
      </c>
      <c r="K46" s="16" t="n">
        <v>46402</v>
      </c>
      <c r="L46" s="16" t="n">
        <v>46416</v>
      </c>
      <c r="M46" s="16" t="n">
        <v>46423</v>
      </c>
      <c r="N46" s="17"/>
      <c r="O46" s="16" t="n">
        <f aca="false">IF(N46&lt;&gt;"",N46,M46)</f>
        <v>46423</v>
      </c>
      <c r="P46" s="18" t="s">
        <v>31</v>
      </c>
      <c r="Q46" s="19" t="s">
        <v>226</v>
      </c>
      <c r="R46" s="19"/>
      <c r="S46" s="14" t="str">
        <f aca="true">IF(AND(O46&lt;TODAY(),P46&lt;&gt;"Approved",P46&lt;&gt;"Live",P46&lt;&gt;"Not applicable"),"Overdue","")</f>
        <v/>
      </c>
      <c r="T46" s="14" t="str">
        <f aca="true">IF(S46="Overdue",TODAY()-O46,"")</f>
        <v/>
      </c>
    </row>
    <row r="47" customFormat="false" ht="57.45" hidden="false" customHeight="false" outlineLevel="0" collapsed="false">
      <c r="A47" s="14" t="s">
        <v>227</v>
      </c>
      <c r="B47" s="15" t="s">
        <v>228</v>
      </c>
      <c r="C47" s="14" t="s">
        <v>55</v>
      </c>
      <c r="D47" s="14" t="s">
        <v>126</v>
      </c>
      <c r="E47" s="14" t="s">
        <v>82</v>
      </c>
      <c r="F47" s="15" t="s">
        <v>49</v>
      </c>
      <c r="G47" s="14" t="s">
        <v>40</v>
      </c>
      <c r="H47" s="16" t="n">
        <v>46342</v>
      </c>
      <c r="I47" s="16" t="n">
        <v>46353</v>
      </c>
      <c r="J47" s="16" t="n">
        <v>46374</v>
      </c>
      <c r="K47" s="16" t="n">
        <v>46402</v>
      </c>
      <c r="L47" s="16" t="n">
        <v>46416</v>
      </c>
      <c r="M47" s="16" t="n">
        <v>46423</v>
      </c>
      <c r="N47" s="17"/>
      <c r="O47" s="16" t="n">
        <f aca="false">IF(N47&lt;&gt;"",N47,M47)</f>
        <v>46423</v>
      </c>
      <c r="P47" s="18" t="s">
        <v>31</v>
      </c>
      <c r="Q47" s="19" t="s">
        <v>229</v>
      </c>
      <c r="R47" s="19"/>
      <c r="S47" s="14" t="str">
        <f aca="true">IF(AND(O47&lt;TODAY(),P47&lt;&gt;"Approved",P47&lt;&gt;"Live",P47&lt;&gt;"Not applicable"),"Overdue","")</f>
        <v/>
      </c>
      <c r="T47" s="14" t="str">
        <f aca="true">IF(S47="Overdue",TODAY()-O47,"")</f>
        <v/>
      </c>
    </row>
    <row r="48" customFormat="false" ht="57.45" hidden="false" customHeight="false" outlineLevel="0" collapsed="false">
      <c r="A48" s="14" t="s">
        <v>230</v>
      </c>
      <c r="B48" s="15" t="s">
        <v>231</v>
      </c>
      <c r="C48" s="14" t="s">
        <v>55</v>
      </c>
      <c r="D48" s="14" t="s">
        <v>232</v>
      </c>
      <c r="E48" s="14" t="s">
        <v>102</v>
      </c>
      <c r="F48" s="15" t="s">
        <v>49</v>
      </c>
      <c r="G48" s="14" t="s">
        <v>40</v>
      </c>
      <c r="H48" s="16" t="n">
        <v>46342</v>
      </c>
      <c r="I48" s="16" t="n">
        <v>46353</v>
      </c>
      <c r="J48" s="16" t="n">
        <v>46374</v>
      </c>
      <c r="K48" s="16" t="n">
        <v>46402</v>
      </c>
      <c r="L48" s="16" t="n">
        <v>46416</v>
      </c>
      <c r="M48" s="16" t="n">
        <v>46423</v>
      </c>
      <c r="N48" s="17"/>
      <c r="O48" s="16" t="n">
        <f aca="false">IF(N48&lt;&gt;"",N48,M48)</f>
        <v>46423</v>
      </c>
      <c r="P48" s="18" t="s">
        <v>31</v>
      </c>
      <c r="Q48" s="19" t="s">
        <v>233</v>
      </c>
      <c r="R48" s="19"/>
      <c r="S48" s="14" t="str">
        <f aca="true">IF(AND(O48&lt;TODAY(),P48&lt;&gt;"Approved",P48&lt;&gt;"Live",P48&lt;&gt;"Not applicable"),"Overdue","")</f>
        <v/>
      </c>
      <c r="T48" s="14" t="str">
        <f aca="true">IF(S48="Overdue",TODAY()-O48,"")</f>
        <v/>
      </c>
    </row>
    <row r="49" customFormat="false" ht="46.25" hidden="false" customHeight="false" outlineLevel="0" collapsed="false">
      <c r="A49" s="14" t="s">
        <v>234</v>
      </c>
      <c r="B49" s="15" t="s">
        <v>235</v>
      </c>
      <c r="C49" s="14" t="s">
        <v>55</v>
      </c>
      <c r="D49" s="14" t="s">
        <v>163</v>
      </c>
      <c r="E49" s="14" t="s">
        <v>102</v>
      </c>
      <c r="F49" s="15" t="s">
        <v>48</v>
      </c>
      <c r="G49" s="14" t="s">
        <v>40</v>
      </c>
      <c r="H49" s="16" t="n">
        <v>46342</v>
      </c>
      <c r="I49" s="16" t="n">
        <v>46353</v>
      </c>
      <c r="J49" s="16" t="n">
        <v>46374</v>
      </c>
      <c r="K49" s="16" t="n">
        <v>46402</v>
      </c>
      <c r="L49" s="16" t="n">
        <v>46416</v>
      </c>
      <c r="M49" s="16" t="n">
        <v>46423</v>
      </c>
      <c r="N49" s="17"/>
      <c r="O49" s="16" t="n">
        <f aca="false">IF(N49&lt;&gt;"",N49,M49)</f>
        <v>46423</v>
      </c>
      <c r="P49" s="18" t="s">
        <v>31</v>
      </c>
      <c r="Q49" s="19" t="s">
        <v>236</v>
      </c>
      <c r="R49" s="19"/>
      <c r="S49" s="14" t="str">
        <f aca="true">IF(AND(O49&lt;TODAY(),P49&lt;&gt;"Approved",P49&lt;&gt;"Live",P49&lt;&gt;"Not applicable"),"Overdue","")</f>
        <v/>
      </c>
      <c r="T49" s="14" t="str">
        <f aca="true">IF(S49="Overdue",TODAY()-O49,"")</f>
        <v/>
      </c>
    </row>
    <row r="50" customFormat="false" ht="23.85" hidden="false" customHeight="false" outlineLevel="0" collapsed="false">
      <c r="A50" s="14" t="s">
        <v>237</v>
      </c>
      <c r="B50" s="15" t="s">
        <v>238</v>
      </c>
      <c r="C50" s="14" t="s">
        <v>55</v>
      </c>
      <c r="D50" s="14" t="s">
        <v>190</v>
      </c>
      <c r="E50" s="14" t="s">
        <v>102</v>
      </c>
      <c r="F50" s="15" t="s">
        <v>48</v>
      </c>
      <c r="G50" s="14" t="s">
        <v>40</v>
      </c>
      <c r="H50" s="16" t="n">
        <v>46342</v>
      </c>
      <c r="I50" s="16" t="n">
        <v>46353</v>
      </c>
      <c r="J50" s="16" t="n">
        <v>46374</v>
      </c>
      <c r="K50" s="16" t="n">
        <v>46402</v>
      </c>
      <c r="L50" s="16" t="n">
        <v>46416</v>
      </c>
      <c r="M50" s="16" t="n">
        <v>46423</v>
      </c>
      <c r="N50" s="17"/>
      <c r="O50" s="16" t="n">
        <f aca="false">IF(N50&lt;&gt;"",N50,M50)</f>
        <v>46423</v>
      </c>
      <c r="P50" s="18" t="s">
        <v>31</v>
      </c>
      <c r="Q50" s="19" t="s">
        <v>239</v>
      </c>
      <c r="R50" s="19"/>
      <c r="S50" s="14" t="str">
        <f aca="true">IF(AND(O50&lt;TODAY(),P50&lt;&gt;"Approved",P50&lt;&gt;"Live",P50&lt;&gt;"Not applicable"),"Overdue","")</f>
        <v/>
      </c>
      <c r="T50" s="14" t="str">
        <f aca="true">IF(S50="Overdue",TODAY()-O50,"")</f>
        <v/>
      </c>
    </row>
    <row r="51" customFormat="false" ht="35.05" hidden="false" customHeight="false" outlineLevel="0" collapsed="false">
      <c r="A51" s="14" t="s">
        <v>240</v>
      </c>
      <c r="B51" s="15" t="s">
        <v>241</v>
      </c>
      <c r="C51" s="14" t="s">
        <v>55</v>
      </c>
      <c r="D51" s="14" t="s">
        <v>190</v>
      </c>
      <c r="E51" s="14" t="s">
        <v>102</v>
      </c>
      <c r="F51" s="15" t="s">
        <v>48</v>
      </c>
      <c r="G51" s="14" t="s">
        <v>40</v>
      </c>
      <c r="H51" s="16" t="n">
        <v>46342</v>
      </c>
      <c r="I51" s="16" t="n">
        <v>46353</v>
      </c>
      <c r="J51" s="16" t="n">
        <v>46374</v>
      </c>
      <c r="K51" s="16" t="n">
        <v>46402</v>
      </c>
      <c r="L51" s="16" t="n">
        <v>46416</v>
      </c>
      <c r="M51" s="16" t="n">
        <v>46423</v>
      </c>
      <c r="N51" s="17"/>
      <c r="O51" s="16" t="n">
        <f aca="false">IF(N51&lt;&gt;"",N51,M51)</f>
        <v>46423</v>
      </c>
      <c r="P51" s="18" t="s">
        <v>31</v>
      </c>
      <c r="Q51" s="19" t="s">
        <v>242</v>
      </c>
      <c r="R51" s="19"/>
      <c r="S51" s="14" t="str">
        <f aca="true">IF(AND(O51&lt;TODAY(),P51&lt;&gt;"Approved",P51&lt;&gt;"Live",P51&lt;&gt;"Not applicable"),"Overdue","")</f>
        <v/>
      </c>
      <c r="T51" s="14" t="str">
        <f aca="true">IF(S51="Overdue",TODAY()-O51,"")</f>
        <v/>
      </c>
    </row>
    <row r="52" customFormat="false" ht="46.25" hidden="false" customHeight="false" outlineLevel="0" collapsed="false">
      <c r="A52" s="14" t="s">
        <v>243</v>
      </c>
      <c r="B52" s="15" t="s">
        <v>244</v>
      </c>
      <c r="C52" s="14" t="s">
        <v>55</v>
      </c>
      <c r="D52" s="14" t="s">
        <v>190</v>
      </c>
      <c r="E52" s="14" t="s">
        <v>102</v>
      </c>
      <c r="F52" s="15" t="s">
        <v>48</v>
      </c>
      <c r="G52" s="14" t="s">
        <v>40</v>
      </c>
      <c r="H52" s="16" t="n">
        <v>46342</v>
      </c>
      <c r="I52" s="16" t="n">
        <v>46353</v>
      </c>
      <c r="J52" s="16" t="n">
        <v>46374</v>
      </c>
      <c r="K52" s="16" t="n">
        <v>46402</v>
      </c>
      <c r="L52" s="16" t="n">
        <v>46416</v>
      </c>
      <c r="M52" s="16" t="n">
        <v>46423</v>
      </c>
      <c r="N52" s="17"/>
      <c r="O52" s="16" t="n">
        <f aca="false">IF(N52&lt;&gt;"",N52,M52)</f>
        <v>46423</v>
      </c>
      <c r="P52" s="18" t="s">
        <v>31</v>
      </c>
      <c r="Q52" s="19" t="s">
        <v>245</v>
      </c>
      <c r="R52" s="19"/>
      <c r="S52" s="14" t="str">
        <f aca="true">IF(AND(O52&lt;TODAY(),P52&lt;&gt;"Approved",P52&lt;&gt;"Live",P52&lt;&gt;"Not applicable"),"Overdue","")</f>
        <v/>
      </c>
      <c r="T52" s="14" t="str">
        <f aca="true">IF(S52="Overdue",TODAY()-O52,"")</f>
        <v/>
      </c>
    </row>
    <row r="53" customFormat="false" ht="46.25" hidden="false" customHeight="false" outlineLevel="0" collapsed="false">
      <c r="A53" s="14" t="s">
        <v>246</v>
      </c>
      <c r="B53" s="15" t="s">
        <v>247</v>
      </c>
      <c r="C53" s="14" t="s">
        <v>55</v>
      </c>
      <c r="D53" s="14" t="s">
        <v>190</v>
      </c>
      <c r="E53" s="14" t="s">
        <v>102</v>
      </c>
      <c r="F53" s="15" t="s">
        <v>48</v>
      </c>
      <c r="G53" s="14" t="s">
        <v>40</v>
      </c>
      <c r="H53" s="16" t="n">
        <v>46342</v>
      </c>
      <c r="I53" s="16" t="n">
        <v>46353</v>
      </c>
      <c r="J53" s="16" t="n">
        <v>46374</v>
      </c>
      <c r="K53" s="16" t="n">
        <v>46402</v>
      </c>
      <c r="L53" s="16" t="n">
        <v>46416</v>
      </c>
      <c r="M53" s="16" t="n">
        <v>46423</v>
      </c>
      <c r="N53" s="17"/>
      <c r="O53" s="16" t="n">
        <f aca="false">IF(N53&lt;&gt;"",N53,M53)</f>
        <v>46423</v>
      </c>
      <c r="P53" s="18" t="s">
        <v>31</v>
      </c>
      <c r="Q53" s="19" t="s">
        <v>248</v>
      </c>
      <c r="R53" s="19"/>
      <c r="S53" s="14" t="str">
        <f aca="true">IF(AND(O53&lt;TODAY(),P53&lt;&gt;"Approved",P53&lt;&gt;"Live",P53&lt;&gt;"Not applicable"),"Overdue","")</f>
        <v/>
      </c>
      <c r="T53" s="14" t="str">
        <f aca="true">IF(S53="Overdue",TODAY()-O53,"")</f>
        <v/>
      </c>
    </row>
    <row r="54" customFormat="false" ht="35.05" hidden="false" customHeight="false" outlineLevel="0" collapsed="false">
      <c r="A54" s="14" t="s">
        <v>249</v>
      </c>
      <c r="B54" s="15" t="s">
        <v>250</v>
      </c>
      <c r="C54" s="14" t="s">
        <v>55</v>
      </c>
      <c r="D54" s="14" t="s">
        <v>251</v>
      </c>
      <c r="E54" s="14" t="s">
        <v>102</v>
      </c>
      <c r="F54" s="15" t="s">
        <v>47</v>
      </c>
      <c r="G54" s="14" t="s">
        <v>40</v>
      </c>
      <c r="H54" s="16" t="n">
        <v>46342</v>
      </c>
      <c r="I54" s="16" t="n">
        <v>46353</v>
      </c>
      <c r="J54" s="16" t="n">
        <v>46374</v>
      </c>
      <c r="K54" s="16" t="n">
        <v>46402</v>
      </c>
      <c r="L54" s="16" t="n">
        <v>46416</v>
      </c>
      <c r="M54" s="16" t="n">
        <v>46423</v>
      </c>
      <c r="N54" s="17"/>
      <c r="O54" s="16" t="n">
        <f aca="false">IF(N54&lt;&gt;"",N54,M54)</f>
        <v>46423</v>
      </c>
      <c r="P54" s="18" t="s">
        <v>31</v>
      </c>
      <c r="Q54" s="19" t="s">
        <v>252</v>
      </c>
      <c r="R54" s="19"/>
      <c r="S54" s="14" t="str">
        <f aca="true">IF(AND(O54&lt;TODAY(),P54&lt;&gt;"Approved",P54&lt;&gt;"Live",P54&lt;&gt;"Not applicable"),"Overdue","")</f>
        <v/>
      </c>
      <c r="T54" s="14" t="str">
        <f aca="true">IF(S54="Overdue",TODAY()-O54,"")</f>
        <v/>
      </c>
    </row>
    <row r="55" customFormat="false" ht="23.85" hidden="false" customHeight="false" outlineLevel="0" collapsed="false">
      <c r="A55" s="14" t="s">
        <v>253</v>
      </c>
      <c r="B55" s="15" t="s">
        <v>254</v>
      </c>
      <c r="C55" s="14" t="s">
        <v>54</v>
      </c>
      <c r="D55" s="14" t="s">
        <v>101</v>
      </c>
      <c r="E55" s="14" t="s">
        <v>102</v>
      </c>
      <c r="F55" s="15" t="s">
        <v>46</v>
      </c>
      <c r="G55" s="14" t="s">
        <v>40</v>
      </c>
      <c r="H55" s="16" t="n">
        <v>46342</v>
      </c>
      <c r="I55" s="16" t="n">
        <v>46353</v>
      </c>
      <c r="J55" s="16" t="n">
        <v>46374</v>
      </c>
      <c r="K55" s="16" t="n">
        <v>46402</v>
      </c>
      <c r="L55" s="16" t="n">
        <v>46416</v>
      </c>
      <c r="M55" s="16" t="n">
        <v>46423</v>
      </c>
      <c r="N55" s="17"/>
      <c r="O55" s="16" t="n">
        <f aca="false">IF(N55&lt;&gt;"",N55,M55)</f>
        <v>46423</v>
      </c>
      <c r="P55" s="18" t="s">
        <v>31</v>
      </c>
      <c r="Q55" s="19" t="s">
        <v>255</v>
      </c>
      <c r="R55" s="19"/>
      <c r="S55" s="14" t="str">
        <f aca="true">IF(AND(O55&lt;TODAY(),P55&lt;&gt;"Approved",P55&lt;&gt;"Live",P55&lt;&gt;"Not applicable"),"Overdue","")</f>
        <v/>
      </c>
      <c r="T55" s="14" t="str">
        <f aca="true">IF(S55="Overdue",TODAY()-O55,"")</f>
        <v/>
      </c>
    </row>
    <row r="56" customFormat="false" ht="35.05" hidden="false" customHeight="false" outlineLevel="0" collapsed="false">
      <c r="A56" s="14" t="s">
        <v>256</v>
      </c>
      <c r="B56" s="15" t="s">
        <v>257</v>
      </c>
      <c r="C56" s="14" t="s">
        <v>54</v>
      </c>
      <c r="D56" s="14" t="s">
        <v>101</v>
      </c>
      <c r="E56" s="14" t="s">
        <v>102</v>
      </c>
      <c r="F56" s="15" t="s">
        <v>46</v>
      </c>
      <c r="G56" s="14" t="s">
        <v>40</v>
      </c>
      <c r="H56" s="16" t="n">
        <v>46342</v>
      </c>
      <c r="I56" s="16" t="n">
        <v>46353</v>
      </c>
      <c r="J56" s="16" t="n">
        <v>46374</v>
      </c>
      <c r="K56" s="16" t="n">
        <v>46402</v>
      </c>
      <c r="L56" s="16" t="n">
        <v>46416</v>
      </c>
      <c r="M56" s="16" t="n">
        <v>46423</v>
      </c>
      <c r="N56" s="17"/>
      <c r="O56" s="16" t="n">
        <f aca="false">IF(N56&lt;&gt;"",N56,M56)</f>
        <v>46423</v>
      </c>
      <c r="P56" s="18" t="s">
        <v>31</v>
      </c>
      <c r="Q56" s="19" t="s">
        <v>258</v>
      </c>
      <c r="R56" s="19"/>
      <c r="S56" s="14" t="str">
        <f aca="true">IF(AND(O56&lt;TODAY(),P56&lt;&gt;"Approved",P56&lt;&gt;"Live",P56&lt;&gt;"Not applicable"),"Overdue","")</f>
        <v/>
      </c>
      <c r="T56" s="14" t="str">
        <f aca="true">IF(S56="Overdue",TODAY()-O56,"")</f>
        <v/>
      </c>
    </row>
    <row r="57" customFormat="false" ht="23.85" hidden="false" customHeight="false" outlineLevel="0" collapsed="false">
      <c r="A57" s="14" t="s">
        <v>259</v>
      </c>
      <c r="B57" s="15" t="s">
        <v>260</v>
      </c>
      <c r="C57" s="14" t="s">
        <v>54</v>
      </c>
      <c r="D57" s="14" t="s">
        <v>101</v>
      </c>
      <c r="E57" s="14" t="s">
        <v>102</v>
      </c>
      <c r="F57" s="15" t="s">
        <v>46</v>
      </c>
      <c r="G57" s="14" t="s">
        <v>40</v>
      </c>
      <c r="H57" s="16" t="n">
        <v>46342</v>
      </c>
      <c r="I57" s="16" t="n">
        <v>46353</v>
      </c>
      <c r="J57" s="16" t="n">
        <v>46374</v>
      </c>
      <c r="K57" s="16" t="n">
        <v>46402</v>
      </c>
      <c r="L57" s="16" t="n">
        <v>46416</v>
      </c>
      <c r="M57" s="16" t="n">
        <v>46423</v>
      </c>
      <c r="N57" s="17"/>
      <c r="O57" s="16" t="n">
        <f aca="false">IF(N57&lt;&gt;"",N57,M57)</f>
        <v>46423</v>
      </c>
      <c r="P57" s="18" t="s">
        <v>31</v>
      </c>
      <c r="Q57" s="19" t="s">
        <v>261</v>
      </c>
      <c r="R57" s="19"/>
      <c r="S57" s="14" t="str">
        <f aca="true">IF(AND(O57&lt;TODAY(),P57&lt;&gt;"Approved",P57&lt;&gt;"Live",P57&lt;&gt;"Not applicable"),"Overdue","")</f>
        <v/>
      </c>
      <c r="T57" s="14" t="str">
        <f aca="true">IF(S57="Overdue",TODAY()-O57,"")</f>
        <v/>
      </c>
    </row>
    <row r="58" customFormat="false" ht="23.85" hidden="false" customHeight="false" outlineLevel="0" collapsed="false">
      <c r="A58" s="14" t="s">
        <v>262</v>
      </c>
      <c r="B58" s="15" t="s">
        <v>263</v>
      </c>
      <c r="C58" s="14" t="s">
        <v>54</v>
      </c>
      <c r="D58" s="14" t="s">
        <v>101</v>
      </c>
      <c r="E58" s="14" t="s">
        <v>102</v>
      </c>
      <c r="F58" s="15" t="s">
        <v>46</v>
      </c>
      <c r="G58" s="14" t="s">
        <v>40</v>
      </c>
      <c r="H58" s="16" t="n">
        <v>46342</v>
      </c>
      <c r="I58" s="16" t="n">
        <v>46353</v>
      </c>
      <c r="J58" s="16" t="n">
        <v>46374</v>
      </c>
      <c r="K58" s="16" t="n">
        <v>46402</v>
      </c>
      <c r="L58" s="16" t="n">
        <v>46416</v>
      </c>
      <c r="M58" s="16" t="n">
        <v>46423</v>
      </c>
      <c r="N58" s="17"/>
      <c r="O58" s="16" t="n">
        <f aca="false">IF(N58&lt;&gt;"",N58,M58)</f>
        <v>46423</v>
      </c>
      <c r="P58" s="18" t="s">
        <v>31</v>
      </c>
      <c r="Q58" s="19" t="s">
        <v>106</v>
      </c>
      <c r="R58" s="19"/>
      <c r="S58" s="14" t="str">
        <f aca="true">IF(AND(O58&lt;TODAY(),P58&lt;&gt;"Approved",P58&lt;&gt;"Live",P58&lt;&gt;"Not applicable"),"Overdue","")</f>
        <v/>
      </c>
      <c r="T58" s="14" t="str">
        <f aca="true">IF(S58="Overdue",TODAY()-O58,"")</f>
        <v/>
      </c>
    </row>
    <row r="59" customFormat="false" ht="23.85" hidden="false" customHeight="false" outlineLevel="0" collapsed="false">
      <c r="A59" s="14" t="s">
        <v>264</v>
      </c>
      <c r="B59" s="15" t="s">
        <v>265</v>
      </c>
      <c r="C59" s="14" t="s">
        <v>54</v>
      </c>
      <c r="D59" s="14" t="s">
        <v>101</v>
      </c>
      <c r="E59" s="14" t="s">
        <v>82</v>
      </c>
      <c r="F59" s="15" t="s">
        <v>46</v>
      </c>
      <c r="G59" s="14" t="s">
        <v>40</v>
      </c>
      <c r="H59" s="16" t="n">
        <v>46342</v>
      </c>
      <c r="I59" s="16" t="n">
        <v>46353</v>
      </c>
      <c r="J59" s="16" t="n">
        <v>46374</v>
      </c>
      <c r="K59" s="16" t="n">
        <v>46402</v>
      </c>
      <c r="L59" s="16" t="n">
        <v>46416</v>
      </c>
      <c r="M59" s="16" t="n">
        <v>46423</v>
      </c>
      <c r="N59" s="17"/>
      <c r="O59" s="16" t="n">
        <f aca="false">IF(N59&lt;&gt;"",N59,M59)</f>
        <v>46423</v>
      </c>
      <c r="P59" s="18" t="s">
        <v>31</v>
      </c>
      <c r="Q59" s="19" t="s">
        <v>266</v>
      </c>
      <c r="R59" s="19"/>
      <c r="S59" s="14" t="str">
        <f aca="true">IF(AND(O59&lt;TODAY(),P59&lt;&gt;"Approved",P59&lt;&gt;"Live",P59&lt;&gt;"Not applicable"),"Overdue","")</f>
        <v/>
      </c>
      <c r="T59" s="14" t="str">
        <f aca="true">IF(S59="Overdue",TODAY()-O59,"")</f>
        <v/>
      </c>
    </row>
    <row r="60" customFormat="false" ht="35.05" hidden="false" customHeight="false" outlineLevel="0" collapsed="false">
      <c r="A60" s="14" t="s">
        <v>267</v>
      </c>
      <c r="B60" s="15" t="s">
        <v>268</v>
      </c>
      <c r="C60" s="14" t="s">
        <v>54</v>
      </c>
      <c r="D60" s="14" t="s">
        <v>101</v>
      </c>
      <c r="E60" s="14" t="s">
        <v>116</v>
      </c>
      <c r="F60" s="15" t="s">
        <v>46</v>
      </c>
      <c r="G60" s="14" t="s">
        <v>40</v>
      </c>
      <c r="H60" s="16" t="n">
        <v>46342</v>
      </c>
      <c r="I60" s="16" t="n">
        <v>46353</v>
      </c>
      <c r="J60" s="16" t="n">
        <v>46374</v>
      </c>
      <c r="K60" s="16" t="n">
        <v>46402</v>
      </c>
      <c r="L60" s="16" t="n">
        <v>46416</v>
      </c>
      <c r="M60" s="16" t="n">
        <v>46423</v>
      </c>
      <c r="N60" s="17"/>
      <c r="O60" s="16" t="n">
        <f aca="false">IF(N60&lt;&gt;"",N60,M60)</f>
        <v>46423</v>
      </c>
      <c r="P60" s="18" t="s">
        <v>31</v>
      </c>
      <c r="Q60" s="19" t="s">
        <v>269</v>
      </c>
      <c r="R60" s="19"/>
      <c r="S60" s="14" t="str">
        <f aca="true">IF(AND(O60&lt;TODAY(),P60&lt;&gt;"Approved",P60&lt;&gt;"Live",P60&lt;&gt;"Not applicable"),"Overdue","")</f>
        <v/>
      </c>
      <c r="T60" s="14" t="str">
        <f aca="true">IF(S60="Overdue",TODAY()-O60,"")</f>
        <v/>
      </c>
    </row>
    <row r="61" customFormat="false" ht="23.85" hidden="false" customHeight="false" outlineLevel="0" collapsed="false">
      <c r="A61" s="14" t="s">
        <v>270</v>
      </c>
      <c r="B61" s="15" t="s">
        <v>271</v>
      </c>
      <c r="C61" s="14" t="s">
        <v>54</v>
      </c>
      <c r="D61" s="14" t="s">
        <v>109</v>
      </c>
      <c r="E61" s="14" t="s">
        <v>102</v>
      </c>
      <c r="F61" s="15" t="s">
        <v>47</v>
      </c>
      <c r="G61" s="14" t="s">
        <v>40</v>
      </c>
      <c r="H61" s="16" t="n">
        <v>46342</v>
      </c>
      <c r="I61" s="16" t="n">
        <v>46353</v>
      </c>
      <c r="J61" s="16" t="n">
        <v>46374</v>
      </c>
      <c r="K61" s="16" t="n">
        <v>46402</v>
      </c>
      <c r="L61" s="16" t="n">
        <v>46416</v>
      </c>
      <c r="M61" s="16" t="n">
        <v>46423</v>
      </c>
      <c r="N61" s="17"/>
      <c r="O61" s="16" t="n">
        <f aca="false">IF(N61&lt;&gt;"",N61,M61)</f>
        <v>46423</v>
      </c>
      <c r="P61" s="18" t="s">
        <v>31</v>
      </c>
      <c r="Q61" s="19" t="s">
        <v>272</v>
      </c>
      <c r="R61" s="19"/>
      <c r="S61" s="14" t="str">
        <f aca="true">IF(AND(O61&lt;TODAY(),P61&lt;&gt;"Approved",P61&lt;&gt;"Live",P61&lt;&gt;"Not applicable"),"Overdue","")</f>
        <v/>
      </c>
      <c r="T61" s="14" t="str">
        <f aca="true">IF(S61="Overdue",TODAY()-O61,"")</f>
        <v/>
      </c>
    </row>
    <row r="62" customFormat="false" ht="23.85" hidden="false" customHeight="false" outlineLevel="0" collapsed="false">
      <c r="A62" s="14" t="s">
        <v>273</v>
      </c>
      <c r="B62" s="15" t="s">
        <v>274</v>
      </c>
      <c r="C62" s="14" t="s">
        <v>54</v>
      </c>
      <c r="D62" s="14" t="s">
        <v>275</v>
      </c>
      <c r="E62" s="14" t="s">
        <v>102</v>
      </c>
      <c r="F62" s="15" t="s">
        <v>50</v>
      </c>
      <c r="G62" s="14" t="s">
        <v>40</v>
      </c>
      <c r="H62" s="16" t="n">
        <v>46342</v>
      </c>
      <c r="I62" s="16" t="n">
        <v>46353</v>
      </c>
      <c r="J62" s="16" t="n">
        <v>46374</v>
      </c>
      <c r="K62" s="16" t="n">
        <v>46402</v>
      </c>
      <c r="L62" s="16" t="n">
        <v>46416</v>
      </c>
      <c r="M62" s="16" t="n">
        <v>46423</v>
      </c>
      <c r="N62" s="17"/>
      <c r="O62" s="16" t="n">
        <f aca="false">IF(N62&lt;&gt;"",N62,M62)</f>
        <v>46423</v>
      </c>
      <c r="P62" s="18" t="s">
        <v>31</v>
      </c>
      <c r="Q62" s="19" t="s">
        <v>276</v>
      </c>
      <c r="R62" s="19"/>
      <c r="S62" s="14" t="str">
        <f aca="true">IF(AND(O62&lt;TODAY(),P62&lt;&gt;"Approved",P62&lt;&gt;"Live",P62&lt;&gt;"Not applicable"),"Overdue","")</f>
        <v/>
      </c>
      <c r="T62" s="14" t="str">
        <f aca="true">IF(S62="Overdue",TODAY()-O62,"")</f>
        <v/>
      </c>
    </row>
    <row r="63" customFormat="false" ht="23.85" hidden="false" customHeight="false" outlineLevel="0" collapsed="false">
      <c r="A63" s="14" t="s">
        <v>277</v>
      </c>
      <c r="B63" s="15" t="s">
        <v>278</v>
      </c>
      <c r="C63" s="14" t="s">
        <v>54</v>
      </c>
      <c r="D63" s="14" t="s">
        <v>101</v>
      </c>
      <c r="E63" s="14" t="s">
        <v>102</v>
      </c>
      <c r="F63" s="15" t="s">
        <v>46</v>
      </c>
      <c r="G63" s="14" t="s">
        <v>40</v>
      </c>
      <c r="H63" s="16" t="n">
        <v>46342</v>
      </c>
      <c r="I63" s="16" t="n">
        <v>46353</v>
      </c>
      <c r="J63" s="16" t="n">
        <v>46374</v>
      </c>
      <c r="K63" s="16" t="n">
        <v>46402</v>
      </c>
      <c r="L63" s="16" t="n">
        <v>46416</v>
      </c>
      <c r="M63" s="16" t="n">
        <v>46423</v>
      </c>
      <c r="N63" s="17"/>
      <c r="O63" s="16" t="n">
        <f aca="false">IF(N63&lt;&gt;"",N63,M63)</f>
        <v>46423</v>
      </c>
      <c r="P63" s="18" t="s">
        <v>31</v>
      </c>
      <c r="Q63" s="19" t="s">
        <v>279</v>
      </c>
      <c r="R63" s="19"/>
      <c r="S63" s="14" t="str">
        <f aca="true">IF(AND(O63&lt;TODAY(),P63&lt;&gt;"Approved",P63&lt;&gt;"Live",P63&lt;&gt;"Not applicable"),"Overdue","")</f>
        <v/>
      </c>
      <c r="T63" s="14" t="str">
        <f aca="true">IF(S63="Overdue",TODAY()-O63,"")</f>
        <v/>
      </c>
    </row>
    <row r="64" customFormat="false" ht="35.05" hidden="false" customHeight="false" outlineLevel="0" collapsed="false">
      <c r="A64" s="14" t="s">
        <v>280</v>
      </c>
      <c r="B64" s="15" t="s">
        <v>281</v>
      </c>
      <c r="C64" s="14" t="s">
        <v>55</v>
      </c>
      <c r="D64" s="14" t="s">
        <v>282</v>
      </c>
      <c r="E64" s="14" t="s">
        <v>102</v>
      </c>
      <c r="F64" s="15" t="s">
        <v>49</v>
      </c>
      <c r="G64" s="14" t="s">
        <v>40</v>
      </c>
      <c r="H64" s="16" t="n">
        <v>46342</v>
      </c>
      <c r="I64" s="16" t="n">
        <v>46353</v>
      </c>
      <c r="J64" s="16" t="n">
        <v>46374</v>
      </c>
      <c r="K64" s="16" t="n">
        <v>46402</v>
      </c>
      <c r="L64" s="16" t="n">
        <v>46416</v>
      </c>
      <c r="M64" s="16" t="n">
        <v>46423</v>
      </c>
      <c r="N64" s="17"/>
      <c r="O64" s="16" t="n">
        <f aca="false">IF(N64&lt;&gt;"",N64,M64)</f>
        <v>46423</v>
      </c>
      <c r="P64" s="18" t="s">
        <v>31</v>
      </c>
      <c r="Q64" s="19" t="s">
        <v>283</v>
      </c>
      <c r="R64" s="19"/>
      <c r="S64" s="14" t="str">
        <f aca="true">IF(AND(O64&lt;TODAY(),P64&lt;&gt;"Approved",P64&lt;&gt;"Live",P64&lt;&gt;"Not applicable"),"Overdue","")</f>
        <v/>
      </c>
      <c r="T64" s="14" t="str">
        <f aca="true">IF(S64="Overdue",TODAY()-O64,"")</f>
        <v/>
      </c>
    </row>
    <row r="65" customFormat="false" ht="23.85" hidden="false" customHeight="false" outlineLevel="0" collapsed="false">
      <c r="A65" s="14" t="s">
        <v>284</v>
      </c>
      <c r="B65" s="15" t="s">
        <v>285</v>
      </c>
      <c r="C65" s="14" t="s">
        <v>59</v>
      </c>
      <c r="D65" s="14" t="s">
        <v>109</v>
      </c>
      <c r="E65" s="14" t="s">
        <v>102</v>
      </c>
      <c r="F65" s="15" t="s">
        <v>47</v>
      </c>
      <c r="G65" s="14" t="s">
        <v>40</v>
      </c>
      <c r="H65" s="16" t="n">
        <v>46342</v>
      </c>
      <c r="I65" s="16" t="n">
        <v>46353</v>
      </c>
      <c r="J65" s="16" t="n">
        <v>46374</v>
      </c>
      <c r="K65" s="16" t="n">
        <v>46402</v>
      </c>
      <c r="L65" s="16" t="n">
        <v>46416</v>
      </c>
      <c r="M65" s="16" t="n">
        <v>46423</v>
      </c>
      <c r="N65" s="17"/>
      <c r="O65" s="16" t="n">
        <f aca="false">IF(N65&lt;&gt;"",N65,M65)</f>
        <v>46423</v>
      </c>
      <c r="P65" s="18" t="s">
        <v>31</v>
      </c>
      <c r="Q65" s="19" t="s">
        <v>286</v>
      </c>
      <c r="R65" s="19"/>
      <c r="S65" s="14" t="str">
        <f aca="true">IF(AND(O65&lt;TODAY(),P65&lt;&gt;"Approved",P65&lt;&gt;"Live",P65&lt;&gt;"Not applicable"),"Overdue","")</f>
        <v/>
      </c>
      <c r="T65" s="14" t="str">
        <f aca="true">IF(S65="Overdue",TODAY()-O65,"")</f>
        <v/>
      </c>
    </row>
    <row r="66" customFormat="false" ht="15" hidden="false" customHeight="false" outlineLevel="0" collapsed="false">
      <c r="A66" s="14" t="s">
        <v>287</v>
      </c>
      <c r="B66" s="15" t="s">
        <v>288</v>
      </c>
      <c r="C66" s="14" t="s">
        <v>58</v>
      </c>
      <c r="D66" s="14" t="s">
        <v>109</v>
      </c>
      <c r="E66" s="14" t="s">
        <v>102</v>
      </c>
      <c r="F66" s="15" t="s">
        <v>47</v>
      </c>
      <c r="G66" s="14" t="s">
        <v>40</v>
      </c>
      <c r="H66" s="16" t="n">
        <v>46342</v>
      </c>
      <c r="I66" s="16" t="n">
        <v>46353</v>
      </c>
      <c r="J66" s="16" t="n">
        <v>46374</v>
      </c>
      <c r="K66" s="16" t="n">
        <v>46402</v>
      </c>
      <c r="L66" s="16" t="n">
        <v>46416</v>
      </c>
      <c r="M66" s="16" t="n">
        <v>46423</v>
      </c>
      <c r="N66" s="17"/>
      <c r="O66" s="16" t="n">
        <f aca="false">IF(N66&lt;&gt;"",N66,M66)</f>
        <v>46423</v>
      </c>
      <c r="P66" s="18" t="s">
        <v>31</v>
      </c>
      <c r="Q66" s="19" t="s">
        <v>289</v>
      </c>
      <c r="R66" s="19"/>
      <c r="S66" s="14" t="str">
        <f aca="true">IF(AND(O66&lt;TODAY(),P66&lt;&gt;"Approved",P66&lt;&gt;"Live",P66&lt;&gt;"Not applicable"),"Overdue","")</f>
        <v/>
      </c>
      <c r="T66" s="14" t="str">
        <f aca="true">IF(S66="Overdue",TODAY()-O66,"")</f>
        <v/>
      </c>
    </row>
    <row r="67" customFormat="false" ht="15" hidden="false" customHeight="false" outlineLevel="0" collapsed="false">
      <c r="A67" s="14" t="s">
        <v>290</v>
      </c>
      <c r="B67" s="15" t="s">
        <v>291</v>
      </c>
      <c r="C67" s="14" t="s">
        <v>59</v>
      </c>
      <c r="D67" s="14" t="s">
        <v>222</v>
      </c>
      <c r="E67" s="14" t="s">
        <v>102</v>
      </c>
      <c r="F67" s="15" t="s">
        <v>48</v>
      </c>
      <c r="G67" s="14" t="s">
        <v>40</v>
      </c>
      <c r="H67" s="16" t="n">
        <v>46342</v>
      </c>
      <c r="I67" s="16" t="n">
        <v>46353</v>
      </c>
      <c r="J67" s="16" t="n">
        <v>46374</v>
      </c>
      <c r="K67" s="16" t="n">
        <v>46402</v>
      </c>
      <c r="L67" s="16" t="n">
        <v>46416</v>
      </c>
      <c r="M67" s="16" t="n">
        <v>46423</v>
      </c>
      <c r="N67" s="17"/>
      <c r="O67" s="16" t="n">
        <f aca="false">IF(N67&lt;&gt;"",N67,M67)</f>
        <v>46423</v>
      </c>
      <c r="P67" s="18" t="s">
        <v>31</v>
      </c>
      <c r="Q67" s="19" t="s">
        <v>292</v>
      </c>
      <c r="R67" s="19"/>
      <c r="S67" s="14" t="str">
        <f aca="true">IF(AND(O67&lt;TODAY(),P67&lt;&gt;"Approved",P67&lt;&gt;"Live",P67&lt;&gt;"Not applicable"),"Overdue","")</f>
        <v/>
      </c>
      <c r="T67" s="14" t="str">
        <f aca="true">IF(S67="Overdue",TODAY()-O67,"")</f>
        <v/>
      </c>
    </row>
    <row r="68" customFormat="false" ht="23.85" hidden="false" customHeight="false" outlineLevel="0" collapsed="false">
      <c r="A68" s="14" t="s">
        <v>293</v>
      </c>
      <c r="B68" s="15" t="s">
        <v>294</v>
      </c>
      <c r="C68" s="14" t="s">
        <v>59</v>
      </c>
      <c r="D68" s="14" t="s">
        <v>222</v>
      </c>
      <c r="E68" s="14" t="s">
        <v>102</v>
      </c>
      <c r="F68" s="15" t="s">
        <v>48</v>
      </c>
      <c r="G68" s="14" t="s">
        <v>40</v>
      </c>
      <c r="H68" s="16" t="n">
        <v>46342</v>
      </c>
      <c r="I68" s="16" t="n">
        <v>46353</v>
      </c>
      <c r="J68" s="16" t="n">
        <v>46374</v>
      </c>
      <c r="K68" s="16" t="n">
        <v>46402</v>
      </c>
      <c r="L68" s="16" t="n">
        <v>46416</v>
      </c>
      <c r="M68" s="16" t="n">
        <v>46423</v>
      </c>
      <c r="N68" s="17"/>
      <c r="O68" s="16" t="n">
        <f aca="false">IF(N68&lt;&gt;"",N68,M68)</f>
        <v>46423</v>
      </c>
      <c r="P68" s="18" t="s">
        <v>31</v>
      </c>
      <c r="Q68" s="19" t="s">
        <v>295</v>
      </c>
      <c r="R68" s="19"/>
      <c r="S68" s="14" t="str">
        <f aca="true">IF(AND(O68&lt;TODAY(),P68&lt;&gt;"Approved",P68&lt;&gt;"Live",P68&lt;&gt;"Not applicable"),"Overdue","")</f>
        <v/>
      </c>
      <c r="T68" s="14" t="str">
        <f aca="true">IF(S68="Overdue",TODAY()-O68,"")</f>
        <v/>
      </c>
    </row>
    <row r="69" customFormat="false" ht="15" hidden="false" customHeight="false" outlineLevel="0" collapsed="false">
      <c r="A69" s="14" t="s">
        <v>296</v>
      </c>
      <c r="B69" s="15" t="s">
        <v>297</v>
      </c>
      <c r="C69" s="14" t="s">
        <v>57</v>
      </c>
      <c r="D69" s="14" t="s">
        <v>282</v>
      </c>
      <c r="E69" s="14" t="s">
        <v>102</v>
      </c>
      <c r="F69" s="15" t="s">
        <v>49</v>
      </c>
      <c r="G69" s="14" t="s">
        <v>40</v>
      </c>
      <c r="H69" s="16" t="n">
        <v>46342</v>
      </c>
      <c r="I69" s="16" t="n">
        <v>46353</v>
      </c>
      <c r="J69" s="16" t="n">
        <v>46374</v>
      </c>
      <c r="K69" s="16" t="n">
        <v>46402</v>
      </c>
      <c r="L69" s="16" t="n">
        <v>46416</v>
      </c>
      <c r="M69" s="16" t="n">
        <v>46423</v>
      </c>
      <c r="N69" s="17"/>
      <c r="O69" s="16" t="n">
        <f aca="false">IF(N69&lt;&gt;"",N69,M69)</f>
        <v>46423</v>
      </c>
      <c r="P69" s="18" t="s">
        <v>31</v>
      </c>
      <c r="Q69" s="19" t="s">
        <v>298</v>
      </c>
      <c r="R69" s="19"/>
      <c r="S69" s="14" t="str">
        <f aca="true">IF(AND(O69&lt;TODAY(),P69&lt;&gt;"Approved",P69&lt;&gt;"Live",P69&lt;&gt;"Not applicable"),"Overdue","")</f>
        <v/>
      </c>
      <c r="T69" s="14" t="str">
        <f aca="true">IF(S69="Overdue",TODAY()-O69,"")</f>
        <v/>
      </c>
    </row>
    <row r="70" customFormat="false" ht="23.85" hidden="false" customHeight="false" outlineLevel="0" collapsed="false">
      <c r="A70" s="14" t="s">
        <v>299</v>
      </c>
      <c r="B70" s="15" t="s">
        <v>300</v>
      </c>
      <c r="C70" s="14" t="s">
        <v>56</v>
      </c>
      <c r="D70" s="14" t="s">
        <v>282</v>
      </c>
      <c r="E70" s="14" t="s">
        <v>102</v>
      </c>
      <c r="F70" s="15" t="s">
        <v>49</v>
      </c>
      <c r="G70" s="14" t="s">
        <v>40</v>
      </c>
      <c r="H70" s="16" t="n">
        <v>46342</v>
      </c>
      <c r="I70" s="16" t="n">
        <v>46353</v>
      </c>
      <c r="J70" s="16" t="n">
        <v>46374</v>
      </c>
      <c r="K70" s="16" t="n">
        <v>46402</v>
      </c>
      <c r="L70" s="16" t="n">
        <v>46416</v>
      </c>
      <c r="M70" s="16" t="n">
        <v>46423</v>
      </c>
      <c r="N70" s="17"/>
      <c r="O70" s="16" t="n">
        <f aca="false">IF(N70&lt;&gt;"",N70,M70)</f>
        <v>46423</v>
      </c>
      <c r="P70" s="18" t="s">
        <v>31</v>
      </c>
      <c r="Q70" s="19" t="s">
        <v>301</v>
      </c>
      <c r="R70" s="19"/>
      <c r="S70" s="14" t="str">
        <f aca="true">IF(AND(O70&lt;TODAY(),P70&lt;&gt;"Approved",P70&lt;&gt;"Live",P70&lt;&gt;"Not applicable"),"Overdue","")</f>
        <v/>
      </c>
      <c r="T70" s="14" t="str">
        <f aca="true">IF(S70="Overdue",TODAY()-O70,"")</f>
        <v/>
      </c>
    </row>
    <row r="71" customFormat="false" ht="23.85" hidden="false" customHeight="false" outlineLevel="0" collapsed="false">
      <c r="A71" s="14" t="s">
        <v>302</v>
      </c>
      <c r="B71" s="15" t="s">
        <v>303</v>
      </c>
      <c r="C71" s="14" t="s">
        <v>57</v>
      </c>
      <c r="D71" s="14" t="s">
        <v>282</v>
      </c>
      <c r="E71" s="14" t="s">
        <v>102</v>
      </c>
      <c r="F71" s="15" t="s">
        <v>49</v>
      </c>
      <c r="G71" s="14" t="s">
        <v>40</v>
      </c>
      <c r="H71" s="16" t="n">
        <v>46342</v>
      </c>
      <c r="I71" s="16" t="n">
        <v>46353</v>
      </c>
      <c r="J71" s="16" t="n">
        <v>46374</v>
      </c>
      <c r="K71" s="16" t="n">
        <v>46402</v>
      </c>
      <c r="L71" s="16" t="n">
        <v>46416</v>
      </c>
      <c r="M71" s="16" t="n">
        <v>46423</v>
      </c>
      <c r="N71" s="17"/>
      <c r="O71" s="16" t="n">
        <f aca="false">IF(N71&lt;&gt;"",N71,M71)</f>
        <v>46423</v>
      </c>
      <c r="P71" s="18" t="s">
        <v>31</v>
      </c>
      <c r="Q71" s="19" t="s">
        <v>304</v>
      </c>
      <c r="R71" s="19"/>
      <c r="S71" s="14" t="str">
        <f aca="true">IF(AND(O71&lt;TODAY(),P71&lt;&gt;"Approved",P71&lt;&gt;"Live",P71&lt;&gt;"Not applicable"),"Overdue","")</f>
        <v/>
      </c>
      <c r="T71" s="14" t="str">
        <f aca="true">IF(S71="Overdue",TODAY()-O71,"")</f>
        <v/>
      </c>
    </row>
    <row r="72" customFormat="false" ht="23.85" hidden="false" customHeight="false" outlineLevel="0" collapsed="false">
      <c r="A72" s="14" t="s">
        <v>305</v>
      </c>
      <c r="B72" s="15" t="s">
        <v>306</v>
      </c>
      <c r="C72" s="14" t="s">
        <v>56</v>
      </c>
      <c r="D72" s="14" t="s">
        <v>282</v>
      </c>
      <c r="E72" s="14" t="s">
        <v>102</v>
      </c>
      <c r="F72" s="15" t="s">
        <v>49</v>
      </c>
      <c r="G72" s="14" t="s">
        <v>40</v>
      </c>
      <c r="H72" s="16" t="n">
        <v>46342</v>
      </c>
      <c r="I72" s="16" t="n">
        <v>46353</v>
      </c>
      <c r="J72" s="16" t="n">
        <v>46374</v>
      </c>
      <c r="K72" s="16" t="n">
        <v>46402</v>
      </c>
      <c r="L72" s="16" t="n">
        <v>46416</v>
      </c>
      <c r="M72" s="16" t="n">
        <v>46423</v>
      </c>
      <c r="N72" s="17"/>
      <c r="O72" s="16" t="n">
        <f aca="false">IF(N72&lt;&gt;"",N72,M72)</f>
        <v>46423</v>
      </c>
      <c r="P72" s="18" t="s">
        <v>31</v>
      </c>
      <c r="Q72" s="19" t="s">
        <v>307</v>
      </c>
      <c r="R72" s="19"/>
      <c r="S72" s="14" t="str">
        <f aca="true">IF(AND(O72&lt;TODAY(),P72&lt;&gt;"Approved",P72&lt;&gt;"Live",P72&lt;&gt;"Not applicable"),"Overdue","")</f>
        <v/>
      </c>
      <c r="T72" s="14" t="str">
        <f aca="true">IF(S72="Overdue",TODAY()-O72,"")</f>
        <v/>
      </c>
    </row>
    <row r="73" customFormat="false" ht="23.85" hidden="false" customHeight="false" outlineLevel="0" collapsed="false">
      <c r="A73" s="14" t="s">
        <v>308</v>
      </c>
      <c r="B73" s="15" t="s">
        <v>309</v>
      </c>
      <c r="C73" s="14" t="s">
        <v>56</v>
      </c>
      <c r="D73" s="14" t="s">
        <v>282</v>
      </c>
      <c r="E73" s="14" t="s">
        <v>102</v>
      </c>
      <c r="F73" s="15" t="s">
        <v>49</v>
      </c>
      <c r="G73" s="14" t="s">
        <v>40</v>
      </c>
      <c r="H73" s="16" t="n">
        <v>46342</v>
      </c>
      <c r="I73" s="16" t="n">
        <v>46353</v>
      </c>
      <c r="J73" s="16" t="n">
        <v>46374</v>
      </c>
      <c r="K73" s="16" t="n">
        <v>46402</v>
      </c>
      <c r="L73" s="16" t="n">
        <v>46416</v>
      </c>
      <c r="M73" s="16" t="n">
        <v>46423</v>
      </c>
      <c r="N73" s="17"/>
      <c r="O73" s="16" t="n">
        <f aca="false">IF(N73&lt;&gt;"",N73,M73)</f>
        <v>46423</v>
      </c>
      <c r="P73" s="18" t="s">
        <v>31</v>
      </c>
      <c r="Q73" s="19" t="s">
        <v>310</v>
      </c>
      <c r="R73" s="19"/>
      <c r="S73" s="14" t="str">
        <f aca="true">IF(AND(O73&lt;TODAY(),P73&lt;&gt;"Approved",P73&lt;&gt;"Live",P73&lt;&gt;"Not applicable"),"Overdue","")</f>
        <v/>
      </c>
      <c r="T73" s="14" t="str">
        <f aca="true">IF(S73="Overdue",TODAY()-O73,"")</f>
        <v/>
      </c>
    </row>
    <row r="74" customFormat="false" ht="15" hidden="false" customHeight="false" outlineLevel="0" collapsed="false">
      <c r="A74" s="14" t="s">
        <v>311</v>
      </c>
      <c r="B74" s="15" t="s">
        <v>312</v>
      </c>
      <c r="C74" s="14" t="s">
        <v>56</v>
      </c>
      <c r="D74" s="14" t="s">
        <v>282</v>
      </c>
      <c r="E74" s="14" t="s">
        <v>102</v>
      </c>
      <c r="F74" s="15" t="s">
        <v>49</v>
      </c>
      <c r="G74" s="14" t="s">
        <v>40</v>
      </c>
      <c r="H74" s="16" t="n">
        <v>46342</v>
      </c>
      <c r="I74" s="16" t="n">
        <v>46353</v>
      </c>
      <c r="J74" s="16" t="n">
        <v>46374</v>
      </c>
      <c r="K74" s="16" t="n">
        <v>46402</v>
      </c>
      <c r="L74" s="16" t="n">
        <v>46416</v>
      </c>
      <c r="M74" s="16" t="n">
        <v>46423</v>
      </c>
      <c r="N74" s="17"/>
      <c r="O74" s="16" t="n">
        <f aca="false">IF(N74&lt;&gt;"",N74,M74)</f>
        <v>46423</v>
      </c>
      <c r="P74" s="18" t="s">
        <v>31</v>
      </c>
      <c r="Q74" s="19" t="s">
        <v>313</v>
      </c>
      <c r="R74" s="19"/>
      <c r="S74" s="14" t="str">
        <f aca="true">IF(AND(O74&lt;TODAY(),P74&lt;&gt;"Approved",P74&lt;&gt;"Live",P74&lt;&gt;"Not applicable"),"Overdue","")</f>
        <v/>
      </c>
      <c r="T74" s="14" t="str">
        <f aca="true">IF(S74="Overdue",TODAY()-O74,"")</f>
        <v/>
      </c>
    </row>
    <row r="75" customFormat="false" ht="23.85" hidden="false" customHeight="false" outlineLevel="0" collapsed="false">
      <c r="A75" s="14" t="s">
        <v>314</v>
      </c>
      <c r="B75" s="15" t="s">
        <v>315</v>
      </c>
      <c r="C75" s="14" t="s">
        <v>57</v>
      </c>
      <c r="D75" s="14" t="s">
        <v>282</v>
      </c>
      <c r="E75" s="14" t="s">
        <v>102</v>
      </c>
      <c r="F75" s="15" t="s">
        <v>49</v>
      </c>
      <c r="G75" s="14" t="s">
        <v>40</v>
      </c>
      <c r="H75" s="16" t="n">
        <v>46342</v>
      </c>
      <c r="I75" s="16" t="n">
        <v>46353</v>
      </c>
      <c r="J75" s="16" t="n">
        <v>46374</v>
      </c>
      <c r="K75" s="16" t="n">
        <v>46402</v>
      </c>
      <c r="L75" s="16" t="n">
        <v>46416</v>
      </c>
      <c r="M75" s="16" t="n">
        <v>46423</v>
      </c>
      <c r="N75" s="17"/>
      <c r="O75" s="16" t="n">
        <f aca="false">IF(N75&lt;&gt;"",N75,M75)</f>
        <v>46423</v>
      </c>
      <c r="P75" s="18" t="s">
        <v>31</v>
      </c>
      <c r="Q75" s="19" t="s">
        <v>316</v>
      </c>
      <c r="R75" s="19"/>
      <c r="S75" s="14" t="str">
        <f aca="true">IF(AND(O75&lt;TODAY(),P75&lt;&gt;"Approved",P75&lt;&gt;"Live",P75&lt;&gt;"Not applicable"),"Overdue","")</f>
        <v/>
      </c>
      <c r="T75" s="14" t="str">
        <f aca="true">IF(S75="Overdue",TODAY()-O75,"")</f>
        <v/>
      </c>
    </row>
    <row r="76" customFormat="false" ht="23.85" hidden="false" customHeight="false" outlineLevel="0" collapsed="false">
      <c r="A76" s="14" t="s">
        <v>317</v>
      </c>
      <c r="B76" s="15" t="s">
        <v>318</v>
      </c>
      <c r="C76" s="14" t="s">
        <v>56</v>
      </c>
      <c r="D76" s="14" t="s">
        <v>282</v>
      </c>
      <c r="E76" s="14" t="s">
        <v>102</v>
      </c>
      <c r="F76" s="15" t="s">
        <v>49</v>
      </c>
      <c r="G76" s="14" t="s">
        <v>40</v>
      </c>
      <c r="H76" s="16" t="n">
        <v>46342</v>
      </c>
      <c r="I76" s="16" t="n">
        <v>46353</v>
      </c>
      <c r="J76" s="16" t="n">
        <v>46374</v>
      </c>
      <c r="K76" s="16" t="n">
        <v>46402</v>
      </c>
      <c r="L76" s="16" t="n">
        <v>46416</v>
      </c>
      <c r="M76" s="16" t="n">
        <v>46423</v>
      </c>
      <c r="N76" s="17"/>
      <c r="O76" s="16" t="n">
        <f aca="false">IF(N76&lt;&gt;"",N76,M76)</f>
        <v>46423</v>
      </c>
      <c r="P76" s="18" t="s">
        <v>31</v>
      </c>
      <c r="Q76" s="19" t="s">
        <v>319</v>
      </c>
      <c r="R76" s="19"/>
      <c r="S76" s="14" t="str">
        <f aca="true">IF(AND(O76&lt;TODAY(),P76&lt;&gt;"Approved",P76&lt;&gt;"Live",P76&lt;&gt;"Not applicable"),"Overdue","")</f>
        <v/>
      </c>
      <c r="T76" s="14" t="str">
        <f aca="true">IF(S76="Overdue",TODAY()-O76,"")</f>
        <v/>
      </c>
    </row>
    <row r="77" customFormat="false" ht="23.85" hidden="false" customHeight="false" outlineLevel="0" collapsed="false">
      <c r="A77" s="14" t="s">
        <v>320</v>
      </c>
      <c r="B77" s="15" t="s">
        <v>321</v>
      </c>
      <c r="C77" s="14" t="s">
        <v>59</v>
      </c>
      <c r="D77" s="14" t="s">
        <v>232</v>
      </c>
      <c r="E77" s="14" t="s">
        <v>82</v>
      </c>
      <c r="F77" s="15" t="s">
        <v>49</v>
      </c>
      <c r="G77" s="14" t="s">
        <v>40</v>
      </c>
      <c r="H77" s="16" t="n">
        <v>46342</v>
      </c>
      <c r="I77" s="16" t="n">
        <v>46353</v>
      </c>
      <c r="J77" s="16" t="n">
        <v>46374</v>
      </c>
      <c r="K77" s="16" t="n">
        <v>46402</v>
      </c>
      <c r="L77" s="16" t="n">
        <v>46416</v>
      </c>
      <c r="M77" s="16" t="n">
        <v>46423</v>
      </c>
      <c r="N77" s="17"/>
      <c r="O77" s="16" t="n">
        <f aca="false">IF(N77&lt;&gt;"",N77,M77)</f>
        <v>46423</v>
      </c>
      <c r="P77" s="18" t="s">
        <v>31</v>
      </c>
      <c r="Q77" s="19" t="s">
        <v>322</v>
      </c>
      <c r="R77" s="19"/>
      <c r="S77" s="14" t="str">
        <f aca="true">IF(AND(O77&lt;TODAY(),P77&lt;&gt;"Approved",P77&lt;&gt;"Live",P77&lt;&gt;"Not applicable"),"Overdue","")</f>
        <v/>
      </c>
      <c r="T77" s="14" t="str">
        <f aca="true">IF(S77="Overdue",TODAY()-O77,"")</f>
        <v/>
      </c>
    </row>
    <row r="78" customFormat="false" ht="23.85" hidden="false" customHeight="false" outlineLevel="0" collapsed="false">
      <c r="A78" s="14" t="s">
        <v>323</v>
      </c>
      <c r="B78" s="15" t="s">
        <v>324</v>
      </c>
      <c r="C78" s="14" t="s">
        <v>59</v>
      </c>
      <c r="D78" s="14" t="s">
        <v>203</v>
      </c>
      <c r="E78" s="14" t="s">
        <v>102</v>
      </c>
      <c r="F78" s="15" t="s">
        <v>49</v>
      </c>
      <c r="G78" s="14" t="s">
        <v>40</v>
      </c>
      <c r="H78" s="16" t="n">
        <v>46342</v>
      </c>
      <c r="I78" s="16" t="n">
        <v>46353</v>
      </c>
      <c r="J78" s="16" t="n">
        <v>46374</v>
      </c>
      <c r="K78" s="16" t="n">
        <v>46402</v>
      </c>
      <c r="L78" s="16" t="n">
        <v>46416</v>
      </c>
      <c r="M78" s="16" t="n">
        <v>46423</v>
      </c>
      <c r="N78" s="17"/>
      <c r="O78" s="16" t="n">
        <f aca="false">IF(N78&lt;&gt;"",N78,M78)</f>
        <v>46423</v>
      </c>
      <c r="P78" s="18" t="s">
        <v>31</v>
      </c>
      <c r="Q78" s="19" t="s">
        <v>325</v>
      </c>
      <c r="R78" s="19"/>
      <c r="S78" s="14" t="str">
        <f aca="true">IF(AND(O78&lt;TODAY(),P78&lt;&gt;"Approved",P78&lt;&gt;"Live",P78&lt;&gt;"Not applicable"),"Overdue","")</f>
        <v/>
      </c>
      <c r="T78" s="14" t="str">
        <f aca="true">IF(S78="Overdue",TODAY()-O78,"")</f>
        <v/>
      </c>
    </row>
    <row r="79" customFormat="false" ht="23.85" hidden="false" customHeight="false" outlineLevel="0" collapsed="false">
      <c r="A79" s="14" t="s">
        <v>326</v>
      </c>
      <c r="B79" s="15" t="s">
        <v>327</v>
      </c>
      <c r="C79" s="14" t="s">
        <v>59</v>
      </c>
      <c r="D79" s="14" t="s">
        <v>148</v>
      </c>
      <c r="E79" s="14" t="s">
        <v>102</v>
      </c>
      <c r="F79" s="15" t="s">
        <v>50</v>
      </c>
      <c r="G79" s="14" t="s">
        <v>40</v>
      </c>
      <c r="H79" s="16" t="n">
        <v>46342</v>
      </c>
      <c r="I79" s="16" t="n">
        <v>46353</v>
      </c>
      <c r="J79" s="16" t="n">
        <v>46374</v>
      </c>
      <c r="K79" s="16" t="n">
        <v>46402</v>
      </c>
      <c r="L79" s="16" t="n">
        <v>46416</v>
      </c>
      <c r="M79" s="16" t="n">
        <v>46423</v>
      </c>
      <c r="N79" s="17"/>
      <c r="O79" s="16" t="n">
        <f aca="false">IF(N79&lt;&gt;"",N79,M79)</f>
        <v>46423</v>
      </c>
      <c r="P79" s="18" t="s">
        <v>31</v>
      </c>
      <c r="Q79" s="19" t="s">
        <v>328</v>
      </c>
      <c r="R79" s="19"/>
      <c r="S79" s="14" t="str">
        <f aca="true">IF(AND(O79&lt;TODAY(),P79&lt;&gt;"Approved",P79&lt;&gt;"Live",P79&lt;&gt;"Not applicable"),"Overdue","")</f>
        <v/>
      </c>
      <c r="T79" s="14" t="str">
        <f aca="true">IF(S79="Overdue",TODAY()-O79,"")</f>
        <v/>
      </c>
    </row>
    <row r="80" customFormat="false" ht="23.85" hidden="false" customHeight="false" outlineLevel="0" collapsed="false">
      <c r="A80" s="14" t="s">
        <v>329</v>
      </c>
      <c r="B80" s="15" t="s">
        <v>330</v>
      </c>
      <c r="C80" s="14" t="s">
        <v>59</v>
      </c>
      <c r="D80" s="14" t="s">
        <v>148</v>
      </c>
      <c r="E80" s="14" t="s">
        <v>102</v>
      </c>
      <c r="F80" s="15" t="s">
        <v>50</v>
      </c>
      <c r="G80" s="14" t="s">
        <v>40</v>
      </c>
      <c r="H80" s="16" t="n">
        <v>46342</v>
      </c>
      <c r="I80" s="16" t="n">
        <v>46353</v>
      </c>
      <c r="J80" s="16" t="n">
        <v>46374</v>
      </c>
      <c r="K80" s="16" t="n">
        <v>46402</v>
      </c>
      <c r="L80" s="16" t="n">
        <v>46416</v>
      </c>
      <c r="M80" s="16" t="n">
        <v>46423</v>
      </c>
      <c r="N80" s="17"/>
      <c r="O80" s="16" t="n">
        <f aca="false">IF(N80&lt;&gt;"",N80,M80)</f>
        <v>46423</v>
      </c>
      <c r="P80" s="18" t="s">
        <v>31</v>
      </c>
      <c r="Q80" s="19" t="s">
        <v>331</v>
      </c>
      <c r="R80" s="19"/>
      <c r="S80" s="14" t="str">
        <f aca="true">IF(AND(O80&lt;TODAY(),P80&lt;&gt;"Approved",P80&lt;&gt;"Live",P80&lt;&gt;"Not applicable"),"Overdue","")</f>
        <v/>
      </c>
      <c r="T80" s="14" t="str">
        <f aca="true">IF(S80="Overdue",TODAY()-O80,"")</f>
        <v/>
      </c>
    </row>
    <row r="81" customFormat="false" ht="15" hidden="false" customHeight="false" outlineLevel="0" collapsed="false">
      <c r="A81" s="14" t="s">
        <v>332</v>
      </c>
      <c r="B81" s="15" t="s">
        <v>333</v>
      </c>
      <c r="C81" s="14" t="s">
        <v>59</v>
      </c>
      <c r="D81" s="14" t="s">
        <v>148</v>
      </c>
      <c r="E81" s="14" t="s">
        <v>102</v>
      </c>
      <c r="F81" s="15" t="s">
        <v>50</v>
      </c>
      <c r="G81" s="14" t="s">
        <v>40</v>
      </c>
      <c r="H81" s="16" t="n">
        <v>46342</v>
      </c>
      <c r="I81" s="16" t="n">
        <v>46353</v>
      </c>
      <c r="J81" s="16" t="n">
        <v>46374</v>
      </c>
      <c r="K81" s="16" t="n">
        <v>46402</v>
      </c>
      <c r="L81" s="16" t="n">
        <v>46416</v>
      </c>
      <c r="M81" s="16" t="n">
        <v>46423</v>
      </c>
      <c r="N81" s="17"/>
      <c r="O81" s="16" t="n">
        <f aca="false">IF(N81&lt;&gt;"",N81,M81)</f>
        <v>46423</v>
      </c>
      <c r="P81" s="18" t="s">
        <v>31</v>
      </c>
      <c r="Q81" s="19" t="s">
        <v>334</v>
      </c>
      <c r="R81" s="19"/>
      <c r="S81" s="14" t="str">
        <f aca="true">IF(AND(O81&lt;TODAY(),P81&lt;&gt;"Approved",P81&lt;&gt;"Live",P81&lt;&gt;"Not applicable"),"Overdue","")</f>
        <v/>
      </c>
      <c r="T81" s="14" t="str">
        <f aca="true">IF(S81="Overdue",TODAY()-O81,"")</f>
        <v/>
      </c>
    </row>
    <row r="82" customFormat="false" ht="35.05" hidden="false" customHeight="false" outlineLevel="0" collapsed="false">
      <c r="A82" s="14" t="s">
        <v>335</v>
      </c>
      <c r="B82" s="15" t="s">
        <v>336</v>
      </c>
      <c r="C82" s="14" t="s">
        <v>58</v>
      </c>
      <c r="D82" s="14" t="s">
        <v>148</v>
      </c>
      <c r="E82" s="14" t="s">
        <v>102</v>
      </c>
      <c r="F82" s="15" t="s">
        <v>50</v>
      </c>
      <c r="G82" s="14" t="s">
        <v>40</v>
      </c>
      <c r="H82" s="16" t="n">
        <v>46342</v>
      </c>
      <c r="I82" s="16" t="n">
        <v>46353</v>
      </c>
      <c r="J82" s="16" t="n">
        <v>46374</v>
      </c>
      <c r="K82" s="16" t="n">
        <v>46402</v>
      </c>
      <c r="L82" s="16" t="n">
        <v>46416</v>
      </c>
      <c r="M82" s="16" t="n">
        <v>46423</v>
      </c>
      <c r="N82" s="17"/>
      <c r="O82" s="16" t="n">
        <f aca="false">IF(N82&lt;&gt;"",N82,M82)</f>
        <v>46423</v>
      </c>
      <c r="P82" s="18" t="s">
        <v>31</v>
      </c>
      <c r="Q82" s="19" t="s">
        <v>337</v>
      </c>
      <c r="R82" s="19"/>
      <c r="S82" s="14" t="str">
        <f aca="true">IF(AND(O82&lt;TODAY(),P82&lt;&gt;"Approved",P82&lt;&gt;"Live",P82&lt;&gt;"Not applicable"),"Overdue","")</f>
        <v/>
      </c>
      <c r="T82" s="14" t="str">
        <f aca="true">IF(S82="Overdue",TODAY()-O82,"")</f>
        <v/>
      </c>
    </row>
    <row r="83" customFormat="false" ht="23.85" hidden="false" customHeight="false" outlineLevel="0" collapsed="false">
      <c r="A83" s="14" t="s">
        <v>338</v>
      </c>
      <c r="B83" s="15" t="s">
        <v>339</v>
      </c>
      <c r="C83" s="14" t="s">
        <v>58</v>
      </c>
      <c r="D83" s="14" t="s">
        <v>101</v>
      </c>
      <c r="E83" s="14" t="s">
        <v>82</v>
      </c>
      <c r="F83" s="15" t="s">
        <v>46</v>
      </c>
      <c r="G83" s="14" t="s">
        <v>40</v>
      </c>
      <c r="H83" s="16" t="n">
        <v>46342</v>
      </c>
      <c r="I83" s="16" t="n">
        <v>46353</v>
      </c>
      <c r="J83" s="16" t="n">
        <v>46374</v>
      </c>
      <c r="K83" s="16" t="n">
        <v>46402</v>
      </c>
      <c r="L83" s="16" t="n">
        <v>46416</v>
      </c>
      <c r="M83" s="16" t="n">
        <v>46423</v>
      </c>
      <c r="N83" s="17"/>
      <c r="O83" s="16" t="n">
        <f aca="false">IF(N83&lt;&gt;"",N83,M83)</f>
        <v>46423</v>
      </c>
      <c r="P83" s="18" t="s">
        <v>31</v>
      </c>
      <c r="Q83" s="19" t="s">
        <v>340</v>
      </c>
      <c r="R83" s="19"/>
      <c r="S83" s="14" t="str">
        <f aca="true">IF(AND(O83&lt;TODAY(),P83&lt;&gt;"Approved",P83&lt;&gt;"Live",P83&lt;&gt;"Not applicable"),"Overdue","")</f>
        <v/>
      </c>
      <c r="T83" s="14" t="str">
        <f aca="true">IF(S83="Overdue",TODAY()-O83,"")</f>
        <v/>
      </c>
    </row>
    <row r="84" customFormat="false" ht="23.85" hidden="false" customHeight="false" outlineLevel="0" collapsed="false">
      <c r="A84" s="14" t="s">
        <v>341</v>
      </c>
      <c r="B84" s="15" t="s">
        <v>342</v>
      </c>
      <c r="C84" s="14" t="s">
        <v>61</v>
      </c>
      <c r="D84" s="14" t="s">
        <v>101</v>
      </c>
      <c r="E84" s="14" t="s">
        <v>102</v>
      </c>
      <c r="F84" s="15" t="s">
        <v>46</v>
      </c>
      <c r="G84" s="14" t="s">
        <v>40</v>
      </c>
      <c r="H84" s="16" t="n">
        <v>46342</v>
      </c>
      <c r="I84" s="16" t="n">
        <v>46353</v>
      </c>
      <c r="J84" s="16" t="n">
        <v>46374</v>
      </c>
      <c r="K84" s="16" t="n">
        <v>46402</v>
      </c>
      <c r="L84" s="16" t="n">
        <v>46416</v>
      </c>
      <c r="M84" s="16" t="n">
        <v>46423</v>
      </c>
      <c r="N84" s="17"/>
      <c r="O84" s="16" t="n">
        <f aca="false">IF(N84&lt;&gt;"",N84,M84)</f>
        <v>46423</v>
      </c>
      <c r="P84" s="18" t="s">
        <v>31</v>
      </c>
      <c r="Q84" s="19" t="s">
        <v>343</v>
      </c>
      <c r="R84" s="19"/>
      <c r="S84" s="14" t="str">
        <f aca="true">IF(AND(O84&lt;TODAY(),P84&lt;&gt;"Approved",P84&lt;&gt;"Live",P84&lt;&gt;"Not applicable"),"Overdue","")</f>
        <v/>
      </c>
      <c r="T84" s="14" t="str">
        <f aca="true">IF(S84="Overdue",TODAY()-O84,"")</f>
        <v/>
      </c>
    </row>
    <row r="85" customFormat="false" ht="23.85" hidden="false" customHeight="false" outlineLevel="0" collapsed="false">
      <c r="A85" s="14" t="s">
        <v>344</v>
      </c>
      <c r="B85" s="15" t="s">
        <v>345</v>
      </c>
      <c r="C85" s="14" t="s">
        <v>61</v>
      </c>
      <c r="D85" s="14" t="s">
        <v>101</v>
      </c>
      <c r="E85" s="14" t="s">
        <v>102</v>
      </c>
      <c r="F85" s="15" t="s">
        <v>46</v>
      </c>
      <c r="G85" s="14" t="s">
        <v>40</v>
      </c>
      <c r="H85" s="16" t="n">
        <v>46342</v>
      </c>
      <c r="I85" s="16" t="n">
        <v>46353</v>
      </c>
      <c r="J85" s="16" t="n">
        <v>46374</v>
      </c>
      <c r="K85" s="16" t="n">
        <v>46402</v>
      </c>
      <c r="L85" s="16" t="n">
        <v>46416</v>
      </c>
      <c r="M85" s="16" t="n">
        <v>46423</v>
      </c>
      <c r="N85" s="17"/>
      <c r="O85" s="16" t="n">
        <f aca="false">IF(N85&lt;&gt;"",N85,M85)</f>
        <v>46423</v>
      </c>
      <c r="P85" s="18" t="s">
        <v>31</v>
      </c>
      <c r="Q85" s="19" t="s">
        <v>346</v>
      </c>
      <c r="R85" s="19"/>
      <c r="S85" s="14" t="str">
        <f aca="true">IF(AND(O85&lt;TODAY(),P85&lt;&gt;"Approved",P85&lt;&gt;"Live",P85&lt;&gt;"Not applicable"),"Overdue","")</f>
        <v/>
      </c>
      <c r="T85" s="14" t="str">
        <f aca="true">IF(S85="Overdue",TODAY()-O85,"")</f>
        <v/>
      </c>
    </row>
    <row r="86" customFormat="false" ht="23.85" hidden="false" customHeight="false" outlineLevel="0" collapsed="false">
      <c r="A86" s="14" t="s">
        <v>347</v>
      </c>
      <c r="B86" s="15" t="s">
        <v>348</v>
      </c>
      <c r="C86" s="14" t="s">
        <v>58</v>
      </c>
      <c r="D86" s="14" t="s">
        <v>101</v>
      </c>
      <c r="E86" s="14" t="s">
        <v>102</v>
      </c>
      <c r="F86" s="15" t="s">
        <v>46</v>
      </c>
      <c r="G86" s="14" t="s">
        <v>40</v>
      </c>
      <c r="H86" s="16" t="n">
        <v>46342</v>
      </c>
      <c r="I86" s="16" t="n">
        <v>46353</v>
      </c>
      <c r="J86" s="16" t="n">
        <v>46374</v>
      </c>
      <c r="K86" s="16" t="n">
        <v>46402</v>
      </c>
      <c r="L86" s="16" t="n">
        <v>46416</v>
      </c>
      <c r="M86" s="16" t="n">
        <v>46423</v>
      </c>
      <c r="N86" s="17"/>
      <c r="O86" s="16" t="n">
        <f aca="false">IF(N86&lt;&gt;"",N86,M86)</f>
        <v>46423</v>
      </c>
      <c r="P86" s="18" t="s">
        <v>31</v>
      </c>
      <c r="Q86" s="19" t="s">
        <v>349</v>
      </c>
      <c r="R86" s="19"/>
      <c r="S86" s="14" t="str">
        <f aca="true">IF(AND(O86&lt;TODAY(),P86&lt;&gt;"Approved",P86&lt;&gt;"Live",P86&lt;&gt;"Not applicable"),"Overdue","")</f>
        <v/>
      </c>
      <c r="T86" s="14" t="str">
        <f aca="true">IF(S86="Overdue",TODAY()-O86,"")</f>
        <v/>
      </c>
    </row>
    <row r="87" customFormat="false" ht="23.85" hidden="false" customHeight="false" outlineLevel="0" collapsed="false">
      <c r="A87" s="14" t="s">
        <v>350</v>
      </c>
      <c r="B87" s="15" t="s">
        <v>351</v>
      </c>
      <c r="C87" s="14" t="s">
        <v>61</v>
      </c>
      <c r="D87" s="14" t="s">
        <v>101</v>
      </c>
      <c r="E87" s="14" t="s">
        <v>102</v>
      </c>
      <c r="F87" s="15" t="s">
        <v>46</v>
      </c>
      <c r="G87" s="14" t="s">
        <v>40</v>
      </c>
      <c r="H87" s="16" t="n">
        <v>46342</v>
      </c>
      <c r="I87" s="16" t="n">
        <v>46353</v>
      </c>
      <c r="J87" s="16" t="n">
        <v>46374</v>
      </c>
      <c r="K87" s="16" t="n">
        <v>46402</v>
      </c>
      <c r="L87" s="16" t="n">
        <v>46416</v>
      </c>
      <c r="M87" s="16" t="n">
        <v>46423</v>
      </c>
      <c r="N87" s="17"/>
      <c r="O87" s="16" t="n">
        <f aca="false">IF(N87&lt;&gt;"",N87,M87)</f>
        <v>46423</v>
      </c>
      <c r="P87" s="18" t="s">
        <v>31</v>
      </c>
      <c r="Q87" s="19" t="s">
        <v>352</v>
      </c>
      <c r="R87" s="19"/>
      <c r="S87" s="14" t="str">
        <f aca="true">IF(AND(O87&lt;TODAY(),P87&lt;&gt;"Approved",P87&lt;&gt;"Live",P87&lt;&gt;"Not applicable"),"Overdue","")</f>
        <v/>
      </c>
      <c r="T87" s="14" t="str">
        <f aca="true">IF(S87="Overdue",TODAY()-O87,"")</f>
        <v/>
      </c>
    </row>
    <row r="88" customFormat="false" ht="23.85" hidden="false" customHeight="false" outlineLevel="0" collapsed="false">
      <c r="A88" s="14" t="s">
        <v>353</v>
      </c>
      <c r="B88" s="15" t="s">
        <v>354</v>
      </c>
      <c r="C88" s="14" t="s">
        <v>58</v>
      </c>
      <c r="D88" s="14" t="s">
        <v>101</v>
      </c>
      <c r="E88" s="14" t="s">
        <v>102</v>
      </c>
      <c r="F88" s="15" t="s">
        <v>46</v>
      </c>
      <c r="G88" s="14" t="s">
        <v>40</v>
      </c>
      <c r="H88" s="16" t="n">
        <v>46342</v>
      </c>
      <c r="I88" s="16" t="n">
        <v>46353</v>
      </c>
      <c r="J88" s="16" t="n">
        <v>46374</v>
      </c>
      <c r="K88" s="16" t="n">
        <v>46402</v>
      </c>
      <c r="L88" s="16" t="n">
        <v>46416</v>
      </c>
      <c r="M88" s="16" t="n">
        <v>46423</v>
      </c>
      <c r="N88" s="17"/>
      <c r="O88" s="16" t="n">
        <f aca="false">IF(N88&lt;&gt;"",N88,M88)</f>
        <v>46423</v>
      </c>
      <c r="P88" s="18" t="s">
        <v>31</v>
      </c>
      <c r="Q88" s="19" t="s">
        <v>355</v>
      </c>
      <c r="R88" s="19"/>
      <c r="S88" s="14" t="str">
        <f aca="true">IF(AND(O88&lt;TODAY(),P88&lt;&gt;"Approved",P88&lt;&gt;"Live",P88&lt;&gt;"Not applicable"),"Overdue","")</f>
        <v/>
      </c>
      <c r="T88" s="14" t="str">
        <f aca="true">IF(S88="Overdue",TODAY()-O88,"")</f>
        <v/>
      </c>
    </row>
    <row r="89" customFormat="false" ht="23.85" hidden="false" customHeight="false" outlineLevel="0" collapsed="false">
      <c r="A89" s="14" t="s">
        <v>356</v>
      </c>
      <c r="B89" s="15" t="s">
        <v>357</v>
      </c>
      <c r="C89" s="14" t="s">
        <v>58</v>
      </c>
      <c r="D89" s="14" t="s">
        <v>101</v>
      </c>
      <c r="E89" s="14" t="s">
        <v>102</v>
      </c>
      <c r="F89" s="15" t="s">
        <v>46</v>
      </c>
      <c r="G89" s="14" t="s">
        <v>40</v>
      </c>
      <c r="H89" s="16" t="n">
        <v>46342</v>
      </c>
      <c r="I89" s="16" t="n">
        <v>46353</v>
      </c>
      <c r="J89" s="16" t="n">
        <v>46374</v>
      </c>
      <c r="K89" s="16" t="n">
        <v>46402</v>
      </c>
      <c r="L89" s="16" t="n">
        <v>46416</v>
      </c>
      <c r="M89" s="16" t="n">
        <v>46423</v>
      </c>
      <c r="N89" s="17"/>
      <c r="O89" s="16" t="n">
        <f aca="false">IF(N89&lt;&gt;"",N89,M89)</f>
        <v>46423</v>
      </c>
      <c r="P89" s="18" t="s">
        <v>31</v>
      </c>
      <c r="Q89" s="19" t="s">
        <v>358</v>
      </c>
      <c r="R89" s="19"/>
      <c r="S89" s="14" t="str">
        <f aca="true">IF(AND(O89&lt;TODAY(),P89&lt;&gt;"Approved",P89&lt;&gt;"Live",P89&lt;&gt;"Not applicable"),"Overdue","")</f>
        <v/>
      </c>
      <c r="T89" s="14" t="str">
        <f aca="true">IF(S89="Overdue",TODAY()-O89,"")</f>
        <v/>
      </c>
    </row>
    <row r="90" customFormat="false" ht="35.05" hidden="false" customHeight="false" outlineLevel="0" collapsed="false">
      <c r="A90" s="14" t="s">
        <v>359</v>
      </c>
      <c r="B90" s="15" t="s">
        <v>360</v>
      </c>
      <c r="C90" s="14" t="s">
        <v>58</v>
      </c>
      <c r="D90" s="14" t="s">
        <v>186</v>
      </c>
      <c r="E90" s="14" t="s">
        <v>102</v>
      </c>
      <c r="F90" s="15" t="s">
        <v>51</v>
      </c>
      <c r="G90" s="14" t="s">
        <v>40</v>
      </c>
      <c r="H90" s="16" t="n">
        <v>46342</v>
      </c>
      <c r="I90" s="16" t="n">
        <v>46353</v>
      </c>
      <c r="J90" s="16" t="n">
        <v>46374</v>
      </c>
      <c r="K90" s="16" t="n">
        <v>46402</v>
      </c>
      <c r="L90" s="16" t="n">
        <v>46416</v>
      </c>
      <c r="M90" s="16" t="n">
        <v>46423</v>
      </c>
      <c r="N90" s="17"/>
      <c r="O90" s="16" t="n">
        <f aca="false">IF(N90&lt;&gt;"",N90,M90)</f>
        <v>46423</v>
      </c>
      <c r="P90" s="18" t="s">
        <v>31</v>
      </c>
      <c r="Q90" s="19" t="s">
        <v>361</v>
      </c>
      <c r="R90" s="19"/>
      <c r="S90" s="14" t="str">
        <f aca="true">IF(AND(O90&lt;TODAY(),P90&lt;&gt;"Approved",P90&lt;&gt;"Live",P90&lt;&gt;"Not applicable"),"Overdue","")</f>
        <v/>
      </c>
      <c r="T90" s="14" t="str">
        <f aca="true">IF(S90="Overdue",TODAY()-O90,"")</f>
        <v/>
      </c>
    </row>
    <row r="91" customFormat="false" ht="23.85" hidden="false" customHeight="false" outlineLevel="0" collapsed="false">
      <c r="A91" s="14" t="s">
        <v>362</v>
      </c>
      <c r="B91" s="15" t="s">
        <v>363</v>
      </c>
      <c r="C91" s="14" t="s">
        <v>58</v>
      </c>
      <c r="D91" s="14" t="s">
        <v>186</v>
      </c>
      <c r="E91" s="14" t="s">
        <v>102</v>
      </c>
      <c r="F91" s="15" t="s">
        <v>51</v>
      </c>
      <c r="G91" s="14" t="s">
        <v>40</v>
      </c>
      <c r="H91" s="16" t="n">
        <v>46342</v>
      </c>
      <c r="I91" s="16" t="n">
        <v>46353</v>
      </c>
      <c r="J91" s="16" t="n">
        <v>46374</v>
      </c>
      <c r="K91" s="16" t="n">
        <v>46402</v>
      </c>
      <c r="L91" s="16" t="n">
        <v>46416</v>
      </c>
      <c r="M91" s="16" t="n">
        <v>46423</v>
      </c>
      <c r="N91" s="17"/>
      <c r="O91" s="16" t="n">
        <f aca="false">IF(N91&lt;&gt;"",N91,M91)</f>
        <v>46423</v>
      </c>
      <c r="P91" s="18" t="s">
        <v>31</v>
      </c>
      <c r="Q91" s="19" t="s">
        <v>364</v>
      </c>
      <c r="R91" s="19"/>
      <c r="S91" s="14" t="str">
        <f aca="true">IF(AND(O91&lt;TODAY(),P91&lt;&gt;"Approved",P91&lt;&gt;"Live",P91&lt;&gt;"Not applicable"),"Overdue","")</f>
        <v/>
      </c>
      <c r="T91" s="14" t="str">
        <f aca="true">IF(S91="Overdue",TODAY()-O91,"")</f>
        <v/>
      </c>
    </row>
    <row r="92" customFormat="false" ht="23.85" hidden="false" customHeight="false" outlineLevel="0" collapsed="false">
      <c r="A92" s="14" t="s">
        <v>365</v>
      </c>
      <c r="B92" s="15" t="s">
        <v>366</v>
      </c>
      <c r="C92" s="14" t="s">
        <v>58</v>
      </c>
      <c r="D92" s="14" t="s">
        <v>186</v>
      </c>
      <c r="E92" s="14" t="s">
        <v>102</v>
      </c>
      <c r="F92" s="15" t="s">
        <v>51</v>
      </c>
      <c r="G92" s="14" t="s">
        <v>40</v>
      </c>
      <c r="H92" s="16" t="n">
        <v>46342</v>
      </c>
      <c r="I92" s="16" t="n">
        <v>46353</v>
      </c>
      <c r="J92" s="16" t="n">
        <v>46374</v>
      </c>
      <c r="K92" s="16" t="n">
        <v>46402</v>
      </c>
      <c r="L92" s="16" t="n">
        <v>46416</v>
      </c>
      <c r="M92" s="16" t="n">
        <v>46423</v>
      </c>
      <c r="N92" s="17"/>
      <c r="O92" s="16" t="n">
        <f aca="false">IF(N92&lt;&gt;"",N92,M92)</f>
        <v>46423</v>
      </c>
      <c r="P92" s="18" t="s">
        <v>31</v>
      </c>
      <c r="Q92" s="19" t="s">
        <v>367</v>
      </c>
      <c r="R92" s="19"/>
      <c r="S92" s="14" t="str">
        <f aca="true">IF(AND(O92&lt;TODAY(),P92&lt;&gt;"Approved",P92&lt;&gt;"Live",P92&lt;&gt;"Not applicable"),"Overdue","")</f>
        <v/>
      </c>
      <c r="T92" s="14" t="str">
        <f aca="true">IF(S92="Overdue",TODAY()-O92,"")</f>
        <v/>
      </c>
    </row>
    <row r="93" customFormat="false" ht="15" hidden="false" customHeight="false" outlineLevel="0" collapsed="false">
      <c r="A93" s="14" t="s">
        <v>368</v>
      </c>
      <c r="B93" s="15" t="s">
        <v>369</v>
      </c>
      <c r="C93" s="14" t="s">
        <v>61</v>
      </c>
      <c r="D93" s="14" t="s">
        <v>186</v>
      </c>
      <c r="E93" s="14" t="s">
        <v>102</v>
      </c>
      <c r="F93" s="15" t="s">
        <v>51</v>
      </c>
      <c r="G93" s="14" t="s">
        <v>40</v>
      </c>
      <c r="H93" s="16" t="n">
        <v>46342</v>
      </c>
      <c r="I93" s="16" t="n">
        <v>46353</v>
      </c>
      <c r="J93" s="16" t="n">
        <v>46374</v>
      </c>
      <c r="K93" s="16" t="n">
        <v>46402</v>
      </c>
      <c r="L93" s="16" t="n">
        <v>46416</v>
      </c>
      <c r="M93" s="16" t="n">
        <v>46423</v>
      </c>
      <c r="N93" s="17"/>
      <c r="O93" s="16" t="n">
        <f aca="false">IF(N93&lt;&gt;"",N93,M93)</f>
        <v>46423</v>
      </c>
      <c r="P93" s="18" t="s">
        <v>31</v>
      </c>
      <c r="Q93" s="19" t="s">
        <v>370</v>
      </c>
      <c r="R93" s="19"/>
      <c r="S93" s="14" t="str">
        <f aca="true">IF(AND(O93&lt;TODAY(),P93&lt;&gt;"Approved",P93&lt;&gt;"Live",P93&lt;&gt;"Not applicable"),"Overdue","")</f>
        <v/>
      </c>
      <c r="T93" s="14" t="str">
        <f aca="true">IF(S93="Overdue",TODAY()-O93,"")</f>
        <v/>
      </c>
    </row>
    <row r="94" customFormat="false" ht="23.85" hidden="false" customHeight="false" outlineLevel="0" collapsed="false">
      <c r="A94" s="14" t="s">
        <v>371</v>
      </c>
      <c r="B94" s="15" t="s">
        <v>372</v>
      </c>
      <c r="C94" s="14" t="s">
        <v>58</v>
      </c>
      <c r="D94" s="14" t="s">
        <v>186</v>
      </c>
      <c r="E94" s="14" t="s">
        <v>102</v>
      </c>
      <c r="F94" s="15" t="s">
        <v>51</v>
      </c>
      <c r="G94" s="14" t="s">
        <v>40</v>
      </c>
      <c r="H94" s="16" t="n">
        <v>46342</v>
      </c>
      <c r="I94" s="16" t="n">
        <v>46353</v>
      </c>
      <c r="J94" s="16" t="n">
        <v>46374</v>
      </c>
      <c r="K94" s="16" t="n">
        <v>46402</v>
      </c>
      <c r="L94" s="16" t="n">
        <v>46416</v>
      </c>
      <c r="M94" s="16" t="n">
        <v>46423</v>
      </c>
      <c r="N94" s="17"/>
      <c r="O94" s="16" t="n">
        <f aca="false">IF(N94&lt;&gt;"",N94,M94)</f>
        <v>46423</v>
      </c>
      <c r="P94" s="18" t="s">
        <v>31</v>
      </c>
      <c r="Q94" s="19" t="s">
        <v>373</v>
      </c>
      <c r="R94" s="19"/>
      <c r="S94" s="14" t="str">
        <f aca="true">IF(AND(O94&lt;TODAY(),P94&lt;&gt;"Approved",P94&lt;&gt;"Live",P94&lt;&gt;"Not applicable"),"Overdue","")</f>
        <v/>
      </c>
      <c r="T94" s="14" t="str">
        <f aca="true">IF(S94="Overdue",TODAY()-O94,"")</f>
        <v/>
      </c>
    </row>
    <row r="95" customFormat="false" ht="23.85" hidden="false" customHeight="false" outlineLevel="0" collapsed="false">
      <c r="A95" s="14" t="s">
        <v>374</v>
      </c>
      <c r="B95" s="15" t="s">
        <v>375</v>
      </c>
      <c r="C95" s="14" t="s">
        <v>58</v>
      </c>
      <c r="D95" s="14" t="s">
        <v>186</v>
      </c>
      <c r="E95" s="14" t="s">
        <v>102</v>
      </c>
      <c r="F95" s="15" t="s">
        <v>51</v>
      </c>
      <c r="G95" s="14" t="s">
        <v>40</v>
      </c>
      <c r="H95" s="16" t="n">
        <v>46342</v>
      </c>
      <c r="I95" s="16" t="n">
        <v>46353</v>
      </c>
      <c r="J95" s="16" t="n">
        <v>46374</v>
      </c>
      <c r="K95" s="16" t="n">
        <v>46402</v>
      </c>
      <c r="L95" s="16" t="n">
        <v>46416</v>
      </c>
      <c r="M95" s="16" t="n">
        <v>46423</v>
      </c>
      <c r="N95" s="17"/>
      <c r="O95" s="16" t="n">
        <f aca="false">IF(N95&lt;&gt;"",N95,M95)</f>
        <v>46423</v>
      </c>
      <c r="P95" s="18" t="s">
        <v>31</v>
      </c>
      <c r="Q95" s="19" t="s">
        <v>376</v>
      </c>
      <c r="R95" s="19"/>
      <c r="S95" s="14" t="str">
        <f aca="true">IF(AND(O95&lt;TODAY(),P95&lt;&gt;"Approved",P95&lt;&gt;"Live",P95&lt;&gt;"Not applicable"),"Overdue","")</f>
        <v/>
      </c>
      <c r="T95" s="14" t="str">
        <f aca="true">IF(S95="Overdue",TODAY()-O95,"")</f>
        <v/>
      </c>
    </row>
    <row r="96" customFormat="false" ht="23.85" hidden="false" customHeight="false" outlineLevel="0" collapsed="false">
      <c r="A96" s="14" t="s">
        <v>377</v>
      </c>
      <c r="B96" s="15" t="s">
        <v>378</v>
      </c>
      <c r="C96" s="14" t="s">
        <v>58</v>
      </c>
      <c r="D96" s="14" t="s">
        <v>186</v>
      </c>
      <c r="E96" s="14" t="s">
        <v>102</v>
      </c>
      <c r="F96" s="15" t="s">
        <v>51</v>
      </c>
      <c r="G96" s="14" t="s">
        <v>40</v>
      </c>
      <c r="H96" s="16" t="n">
        <v>46342</v>
      </c>
      <c r="I96" s="16" t="n">
        <v>46353</v>
      </c>
      <c r="J96" s="16" t="n">
        <v>46374</v>
      </c>
      <c r="K96" s="16" t="n">
        <v>46402</v>
      </c>
      <c r="L96" s="16" t="n">
        <v>46416</v>
      </c>
      <c r="M96" s="16" t="n">
        <v>46423</v>
      </c>
      <c r="N96" s="17"/>
      <c r="O96" s="16" t="n">
        <f aca="false">IF(N96&lt;&gt;"",N96,M96)</f>
        <v>46423</v>
      </c>
      <c r="P96" s="18" t="s">
        <v>31</v>
      </c>
      <c r="Q96" s="19" t="s">
        <v>379</v>
      </c>
      <c r="R96" s="19"/>
      <c r="S96" s="14" t="str">
        <f aca="true">IF(AND(O96&lt;TODAY(),P96&lt;&gt;"Approved",P96&lt;&gt;"Live",P96&lt;&gt;"Not applicable"),"Overdue","")</f>
        <v/>
      </c>
      <c r="T96" s="14" t="str">
        <f aca="true">IF(S96="Overdue",TODAY()-O96,"")</f>
        <v/>
      </c>
    </row>
    <row r="97" customFormat="false" ht="23.85" hidden="false" customHeight="false" outlineLevel="0" collapsed="false">
      <c r="A97" s="14" t="s">
        <v>380</v>
      </c>
      <c r="B97" s="15" t="s">
        <v>381</v>
      </c>
      <c r="C97" s="14" t="s">
        <v>58</v>
      </c>
      <c r="D97" s="14" t="s">
        <v>170</v>
      </c>
      <c r="E97" s="14" t="s">
        <v>102</v>
      </c>
      <c r="F97" s="15" t="s">
        <v>51</v>
      </c>
      <c r="G97" s="14" t="s">
        <v>40</v>
      </c>
      <c r="H97" s="16" t="n">
        <v>46342</v>
      </c>
      <c r="I97" s="16" t="n">
        <v>46353</v>
      </c>
      <c r="J97" s="16" t="n">
        <v>46374</v>
      </c>
      <c r="K97" s="16" t="n">
        <v>46402</v>
      </c>
      <c r="L97" s="16" t="n">
        <v>46416</v>
      </c>
      <c r="M97" s="16" t="n">
        <v>46423</v>
      </c>
      <c r="N97" s="17"/>
      <c r="O97" s="16" t="n">
        <f aca="false">IF(N97&lt;&gt;"",N97,M97)</f>
        <v>46423</v>
      </c>
      <c r="P97" s="18" t="s">
        <v>31</v>
      </c>
      <c r="Q97" s="19" t="s">
        <v>382</v>
      </c>
      <c r="R97" s="19"/>
      <c r="S97" s="14" t="str">
        <f aca="true">IF(AND(O97&lt;TODAY(),P97&lt;&gt;"Approved",P97&lt;&gt;"Live",P97&lt;&gt;"Not applicable"),"Overdue","")</f>
        <v/>
      </c>
      <c r="T97" s="14" t="str">
        <f aca="true">IF(S97="Overdue",TODAY()-O97,"")</f>
        <v/>
      </c>
    </row>
    <row r="98" customFormat="false" ht="23.85" hidden="false" customHeight="false" outlineLevel="0" collapsed="false">
      <c r="A98" s="14" t="s">
        <v>383</v>
      </c>
      <c r="B98" s="15" t="s">
        <v>384</v>
      </c>
      <c r="C98" s="14" t="s">
        <v>58</v>
      </c>
      <c r="D98" s="14" t="s">
        <v>170</v>
      </c>
      <c r="E98" s="14" t="s">
        <v>102</v>
      </c>
      <c r="F98" s="15" t="s">
        <v>51</v>
      </c>
      <c r="G98" s="14" t="s">
        <v>40</v>
      </c>
      <c r="H98" s="16" t="n">
        <v>46342</v>
      </c>
      <c r="I98" s="16" t="n">
        <v>46353</v>
      </c>
      <c r="J98" s="16" t="n">
        <v>46374</v>
      </c>
      <c r="K98" s="16" t="n">
        <v>46402</v>
      </c>
      <c r="L98" s="16" t="n">
        <v>46416</v>
      </c>
      <c r="M98" s="16" t="n">
        <v>46423</v>
      </c>
      <c r="N98" s="17"/>
      <c r="O98" s="16" t="n">
        <f aca="false">IF(N98&lt;&gt;"",N98,M98)</f>
        <v>46423</v>
      </c>
      <c r="P98" s="18" t="s">
        <v>31</v>
      </c>
      <c r="Q98" s="19" t="s">
        <v>385</v>
      </c>
      <c r="R98" s="19"/>
      <c r="S98" s="14" t="str">
        <f aca="true">IF(AND(O98&lt;TODAY(),P98&lt;&gt;"Approved",P98&lt;&gt;"Live",P98&lt;&gt;"Not applicable"),"Overdue","")</f>
        <v/>
      </c>
      <c r="T98" s="14" t="str">
        <f aca="true">IF(S98="Overdue",TODAY()-O98,"")</f>
        <v/>
      </c>
    </row>
    <row r="99" customFormat="false" ht="23.85" hidden="false" customHeight="false" outlineLevel="0" collapsed="false">
      <c r="A99" s="14" t="s">
        <v>386</v>
      </c>
      <c r="B99" s="15" t="s">
        <v>387</v>
      </c>
      <c r="C99" s="14" t="s">
        <v>58</v>
      </c>
      <c r="D99" s="14" t="s">
        <v>170</v>
      </c>
      <c r="E99" s="14" t="s">
        <v>102</v>
      </c>
      <c r="F99" s="15" t="s">
        <v>51</v>
      </c>
      <c r="G99" s="14" t="s">
        <v>40</v>
      </c>
      <c r="H99" s="16" t="n">
        <v>46342</v>
      </c>
      <c r="I99" s="16" t="n">
        <v>46353</v>
      </c>
      <c r="J99" s="16" t="n">
        <v>46374</v>
      </c>
      <c r="K99" s="16" t="n">
        <v>46402</v>
      </c>
      <c r="L99" s="16" t="n">
        <v>46416</v>
      </c>
      <c r="M99" s="16" t="n">
        <v>46423</v>
      </c>
      <c r="N99" s="17"/>
      <c r="O99" s="16" t="n">
        <f aca="false">IF(N99&lt;&gt;"",N99,M99)</f>
        <v>46423</v>
      </c>
      <c r="P99" s="18" t="s">
        <v>31</v>
      </c>
      <c r="Q99" s="19" t="s">
        <v>388</v>
      </c>
      <c r="R99" s="19"/>
      <c r="S99" s="14" t="str">
        <f aca="true">IF(AND(O99&lt;TODAY(),P99&lt;&gt;"Approved",P99&lt;&gt;"Live",P99&lt;&gt;"Not applicable"),"Overdue","")</f>
        <v/>
      </c>
      <c r="T99" s="14" t="str">
        <f aca="true">IF(S99="Overdue",TODAY()-O99,"")</f>
        <v/>
      </c>
    </row>
    <row r="100" customFormat="false" ht="23.85" hidden="false" customHeight="false" outlineLevel="0" collapsed="false">
      <c r="A100" s="14" t="s">
        <v>389</v>
      </c>
      <c r="B100" s="15" t="s">
        <v>390</v>
      </c>
      <c r="C100" s="14" t="s">
        <v>58</v>
      </c>
      <c r="D100" s="14" t="s">
        <v>170</v>
      </c>
      <c r="E100" s="14" t="s">
        <v>102</v>
      </c>
      <c r="F100" s="15" t="s">
        <v>51</v>
      </c>
      <c r="G100" s="14" t="s">
        <v>40</v>
      </c>
      <c r="H100" s="16" t="n">
        <v>46342</v>
      </c>
      <c r="I100" s="16" t="n">
        <v>46353</v>
      </c>
      <c r="J100" s="16" t="n">
        <v>46374</v>
      </c>
      <c r="K100" s="16" t="n">
        <v>46402</v>
      </c>
      <c r="L100" s="16" t="n">
        <v>46416</v>
      </c>
      <c r="M100" s="16" t="n">
        <v>46423</v>
      </c>
      <c r="N100" s="17"/>
      <c r="O100" s="16" t="n">
        <f aca="false">IF(N100&lt;&gt;"",N100,M100)</f>
        <v>46423</v>
      </c>
      <c r="P100" s="18" t="s">
        <v>31</v>
      </c>
      <c r="Q100" s="19" t="s">
        <v>391</v>
      </c>
      <c r="R100" s="19"/>
      <c r="S100" s="14" t="str">
        <f aca="true">IF(AND(O100&lt;TODAY(),P100&lt;&gt;"Approved",P100&lt;&gt;"Live",P100&lt;&gt;"Not applicable"),"Overdue","")</f>
        <v/>
      </c>
      <c r="T100" s="14" t="str">
        <f aca="true">IF(S100="Overdue",TODAY()-O100,"")</f>
        <v/>
      </c>
    </row>
    <row r="101" customFormat="false" ht="23.85" hidden="false" customHeight="false" outlineLevel="0" collapsed="false">
      <c r="A101" s="14" t="s">
        <v>392</v>
      </c>
      <c r="B101" s="15" t="s">
        <v>393</v>
      </c>
      <c r="C101" s="14" t="s">
        <v>61</v>
      </c>
      <c r="D101" s="14" t="s">
        <v>81</v>
      </c>
      <c r="E101" s="14" t="s">
        <v>82</v>
      </c>
      <c r="F101" s="15" t="s">
        <v>46</v>
      </c>
      <c r="G101" s="14" t="s">
        <v>40</v>
      </c>
      <c r="H101" s="16" t="n">
        <v>46342</v>
      </c>
      <c r="I101" s="16" t="n">
        <v>46353</v>
      </c>
      <c r="J101" s="16" t="n">
        <v>46374</v>
      </c>
      <c r="K101" s="16" t="n">
        <v>46402</v>
      </c>
      <c r="L101" s="16" t="n">
        <v>46416</v>
      </c>
      <c r="M101" s="16" t="n">
        <v>46423</v>
      </c>
      <c r="N101" s="17"/>
      <c r="O101" s="16" t="n">
        <f aca="false">IF(N101&lt;&gt;"",N101,M101)</f>
        <v>46423</v>
      </c>
      <c r="P101" s="18" t="s">
        <v>31</v>
      </c>
      <c r="Q101" s="19" t="s">
        <v>394</v>
      </c>
      <c r="R101" s="19"/>
      <c r="S101" s="14" t="str">
        <f aca="true">IF(AND(O101&lt;TODAY(),P101&lt;&gt;"Approved",P101&lt;&gt;"Live",P101&lt;&gt;"Not applicable"),"Overdue","")</f>
        <v/>
      </c>
      <c r="T101" s="14" t="str">
        <f aca="true">IF(S101="Overdue",TODAY()-O101,"")</f>
        <v/>
      </c>
    </row>
    <row r="102" customFormat="false" ht="23.85" hidden="false" customHeight="false" outlineLevel="0" collapsed="false">
      <c r="A102" s="14" t="s">
        <v>395</v>
      </c>
      <c r="B102" s="15" t="s">
        <v>396</v>
      </c>
      <c r="C102" s="14" t="s">
        <v>58</v>
      </c>
      <c r="D102" s="14" t="s">
        <v>81</v>
      </c>
      <c r="E102" s="14" t="s">
        <v>116</v>
      </c>
      <c r="F102" s="15" t="s">
        <v>46</v>
      </c>
      <c r="G102" s="14" t="s">
        <v>40</v>
      </c>
      <c r="H102" s="16" t="n">
        <v>46342</v>
      </c>
      <c r="I102" s="16" t="n">
        <v>46353</v>
      </c>
      <c r="J102" s="16" t="n">
        <v>46374</v>
      </c>
      <c r="K102" s="16" t="n">
        <v>46402</v>
      </c>
      <c r="L102" s="16" t="n">
        <v>46416</v>
      </c>
      <c r="M102" s="16" t="n">
        <v>46423</v>
      </c>
      <c r="N102" s="17"/>
      <c r="O102" s="16" t="n">
        <f aca="false">IF(N102&lt;&gt;"",N102,M102)</f>
        <v>46423</v>
      </c>
      <c r="P102" s="18" t="s">
        <v>31</v>
      </c>
      <c r="Q102" s="19" t="s">
        <v>397</v>
      </c>
      <c r="R102" s="19"/>
      <c r="S102" s="14" t="str">
        <f aca="true">IF(AND(O102&lt;TODAY(),P102&lt;&gt;"Approved",P102&lt;&gt;"Live",P102&lt;&gt;"Not applicable"),"Overdue","")</f>
        <v/>
      </c>
      <c r="T102" s="14" t="str">
        <f aca="true">IF(S102="Overdue",TODAY()-O102,"")</f>
        <v/>
      </c>
    </row>
    <row r="103" customFormat="false" ht="23.85" hidden="false" customHeight="false" outlineLevel="0" collapsed="false">
      <c r="A103" s="14" t="s">
        <v>398</v>
      </c>
      <c r="B103" s="15" t="s">
        <v>399</v>
      </c>
      <c r="C103" s="14" t="s">
        <v>59</v>
      </c>
      <c r="D103" s="14" t="s">
        <v>190</v>
      </c>
      <c r="E103" s="14" t="s">
        <v>102</v>
      </c>
      <c r="F103" s="15" t="s">
        <v>48</v>
      </c>
      <c r="G103" s="14" t="s">
        <v>40</v>
      </c>
      <c r="H103" s="16" t="n">
        <v>46342</v>
      </c>
      <c r="I103" s="16" t="n">
        <v>46353</v>
      </c>
      <c r="J103" s="16" t="n">
        <v>46374</v>
      </c>
      <c r="K103" s="16" t="n">
        <v>46402</v>
      </c>
      <c r="L103" s="16" t="n">
        <v>46416</v>
      </c>
      <c r="M103" s="16" t="n">
        <v>46423</v>
      </c>
      <c r="N103" s="17"/>
      <c r="O103" s="16" t="n">
        <f aca="false">IF(N103&lt;&gt;"",N103,M103)</f>
        <v>46423</v>
      </c>
      <c r="P103" s="18" t="s">
        <v>31</v>
      </c>
      <c r="Q103" s="19" t="s">
        <v>400</v>
      </c>
      <c r="R103" s="19"/>
      <c r="S103" s="14" t="str">
        <f aca="true">IF(AND(O103&lt;TODAY(),P103&lt;&gt;"Approved",P103&lt;&gt;"Live",P103&lt;&gt;"Not applicable"),"Overdue","")</f>
        <v/>
      </c>
      <c r="T103" s="14" t="str">
        <f aca="true">IF(S103="Overdue",TODAY()-O103,"")</f>
        <v/>
      </c>
    </row>
    <row r="104" customFormat="false" ht="23.85" hidden="false" customHeight="false" outlineLevel="0" collapsed="false">
      <c r="A104" s="14" t="s">
        <v>401</v>
      </c>
      <c r="B104" s="15" t="s">
        <v>402</v>
      </c>
      <c r="C104" s="14" t="s">
        <v>59</v>
      </c>
      <c r="D104" s="14" t="s">
        <v>190</v>
      </c>
      <c r="E104" s="14" t="s">
        <v>102</v>
      </c>
      <c r="F104" s="15" t="s">
        <v>48</v>
      </c>
      <c r="G104" s="14" t="s">
        <v>40</v>
      </c>
      <c r="H104" s="16" t="n">
        <v>46342</v>
      </c>
      <c r="I104" s="16" t="n">
        <v>46353</v>
      </c>
      <c r="J104" s="16" t="n">
        <v>46374</v>
      </c>
      <c r="K104" s="16" t="n">
        <v>46402</v>
      </c>
      <c r="L104" s="16" t="n">
        <v>46416</v>
      </c>
      <c r="M104" s="16" t="n">
        <v>46423</v>
      </c>
      <c r="N104" s="17"/>
      <c r="O104" s="16" t="n">
        <f aca="false">IF(N104&lt;&gt;"",N104,M104)</f>
        <v>46423</v>
      </c>
      <c r="P104" s="18" t="s">
        <v>31</v>
      </c>
      <c r="Q104" s="19" t="s">
        <v>403</v>
      </c>
      <c r="R104" s="19"/>
      <c r="S104" s="14" t="str">
        <f aca="true">IF(AND(O104&lt;TODAY(),P104&lt;&gt;"Approved",P104&lt;&gt;"Live",P104&lt;&gt;"Not applicable"),"Overdue","")</f>
        <v/>
      </c>
      <c r="T104" s="14" t="str">
        <f aca="true">IF(S104="Overdue",TODAY()-O104,"")</f>
        <v/>
      </c>
    </row>
    <row r="105" customFormat="false" ht="23.85" hidden="false" customHeight="false" outlineLevel="0" collapsed="false">
      <c r="A105" s="14" t="s">
        <v>404</v>
      </c>
      <c r="B105" s="15" t="s">
        <v>405</v>
      </c>
      <c r="C105" s="14" t="s">
        <v>59</v>
      </c>
      <c r="D105" s="14" t="s">
        <v>190</v>
      </c>
      <c r="E105" s="14" t="s">
        <v>102</v>
      </c>
      <c r="F105" s="15" t="s">
        <v>48</v>
      </c>
      <c r="G105" s="14" t="s">
        <v>40</v>
      </c>
      <c r="H105" s="16" t="n">
        <v>46342</v>
      </c>
      <c r="I105" s="16" t="n">
        <v>46353</v>
      </c>
      <c r="J105" s="16" t="n">
        <v>46374</v>
      </c>
      <c r="K105" s="16" t="n">
        <v>46402</v>
      </c>
      <c r="L105" s="16" t="n">
        <v>46416</v>
      </c>
      <c r="M105" s="16" t="n">
        <v>46423</v>
      </c>
      <c r="N105" s="17"/>
      <c r="O105" s="16" t="n">
        <f aca="false">IF(N105&lt;&gt;"",N105,M105)</f>
        <v>46423</v>
      </c>
      <c r="P105" s="18" t="s">
        <v>31</v>
      </c>
      <c r="Q105" s="19" t="s">
        <v>406</v>
      </c>
      <c r="R105" s="19"/>
      <c r="S105" s="14" t="str">
        <f aca="true">IF(AND(O105&lt;TODAY(),P105&lt;&gt;"Approved",P105&lt;&gt;"Live",P105&lt;&gt;"Not applicable"),"Overdue","")</f>
        <v/>
      </c>
      <c r="T105" s="14" t="str">
        <f aca="true">IF(S105="Overdue",TODAY()-O105,"")</f>
        <v/>
      </c>
    </row>
    <row r="106" customFormat="false" ht="23.85" hidden="false" customHeight="false" outlineLevel="0" collapsed="false">
      <c r="A106" s="14" t="s">
        <v>407</v>
      </c>
      <c r="B106" s="15" t="s">
        <v>408</v>
      </c>
      <c r="C106" s="14" t="s">
        <v>58</v>
      </c>
      <c r="D106" s="14" t="s">
        <v>148</v>
      </c>
      <c r="E106" s="14" t="s">
        <v>102</v>
      </c>
      <c r="F106" s="15" t="s">
        <v>50</v>
      </c>
      <c r="G106" s="14" t="s">
        <v>40</v>
      </c>
      <c r="H106" s="16" t="n">
        <v>46342</v>
      </c>
      <c r="I106" s="16" t="n">
        <v>46353</v>
      </c>
      <c r="J106" s="16" t="n">
        <v>46374</v>
      </c>
      <c r="K106" s="16" t="n">
        <v>46402</v>
      </c>
      <c r="L106" s="16" t="n">
        <v>46416</v>
      </c>
      <c r="M106" s="16" t="n">
        <v>46423</v>
      </c>
      <c r="N106" s="17"/>
      <c r="O106" s="16" t="n">
        <f aca="false">IF(N106&lt;&gt;"",N106,M106)</f>
        <v>46423</v>
      </c>
      <c r="P106" s="18" t="s">
        <v>31</v>
      </c>
      <c r="Q106" s="19" t="s">
        <v>409</v>
      </c>
      <c r="R106" s="19"/>
      <c r="S106" s="14" t="str">
        <f aca="true">IF(AND(O106&lt;TODAY(),P106&lt;&gt;"Approved",P106&lt;&gt;"Live",P106&lt;&gt;"Not applicable"),"Overdue","")</f>
        <v/>
      </c>
      <c r="T106" s="14" t="str">
        <f aca="true">IF(S106="Overdue",TODAY()-O106,"")</f>
        <v/>
      </c>
    </row>
    <row r="107" customFormat="false" ht="23.85" hidden="false" customHeight="false" outlineLevel="0" collapsed="false">
      <c r="A107" s="14" t="s">
        <v>410</v>
      </c>
      <c r="B107" s="15" t="s">
        <v>411</v>
      </c>
      <c r="C107" s="14" t="s">
        <v>61</v>
      </c>
      <c r="D107" s="14" t="s">
        <v>186</v>
      </c>
      <c r="E107" s="14" t="s">
        <v>102</v>
      </c>
      <c r="F107" s="15" t="s">
        <v>51</v>
      </c>
      <c r="G107" s="14" t="s">
        <v>40</v>
      </c>
      <c r="H107" s="16" t="n">
        <v>46342</v>
      </c>
      <c r="I107" s="16" t="n">
        <v>46353</v>
      </c>
      <c r="J107" s="16" t="n">
        <v>46374</v>
      </c>
      <c r="K107" s="16" t="n">
        <v>46402</v>
      </c>
      <c r="L107" s="16" t="n">
        <v>46416</v>
      </c>
      <c r="M107" s="16" t="n">
        <v>46423</v>
      </c>
      <c r="N107" s="17"/>
      <c r="O107" s="16" t="n">
        <f aca="false">IF(N107&lt;&gt;"",N107,M107)</f>
        <v>46423</v>
      </c>
      <c r="P107" s="18" t="s">
        <v>31</v>
      </c>
      <c r="Q107" s="19" t="s">
        <v>412</v>
      </c>
      <c r="R107" s="19"/>
      <c r="S107" s="14" t="str">
        <f aca="true">IF(AND(O107&lt;TODAY(),P107&lt;&gt;"Approved",P107&lt;&gt;"Live",P107&lt;&gt;"Not applicable"),"Overdue","")</f>
        <v/>
      </c>
      <c r="T107" s="14" t="str">
        <f aca="true">IF(S107="Overdue",TODAY()-O107,"")</f>
        <v/>
      </c>
    </row>
    <row r="108" customFormat="false" ht="15" hidden="false" customHeight="false" outlineLevel="0" collapsed="false">
      <c r="A108" s="14" t="s">
        <v>413</v>
      </c>
      <c r="B108" s="15" t="s">
        <v>414</v>
      </c>
      <c r="C108" s="14" t="s">
        <v>58</v>
      </c>
      <c r="D108" s="14" t="s">
        <v>170</v>
      </c>
      <c r="E108" s="14" t="s">
        <v>102</v>
      </c>
      <c r="F108" s="15" t="s">
        <v>51</v>
      </c>
      <c r="G108" s="14" t="s">
        <v>40</v>
      </c>
      <c r="H108" s="16" t="n">
        <v>46342</v>
      </c>
      <c r="I108" s="16" t="n">
        <v>46353</v>
      </c>
      <c r="J108" s="16" t="n">
        <v>46374</v>
      </c>
      <c r="K108" s="16" t="n">
        <v>46402</v>
      </c>
      <c r="L108" s="16" t="n">
        <v>46416</v>
      </c>
      <c r="M108" s="16" t="n">
        <v>46423</v>
      </c>
      <c r="N108" s="17"/>
      <c r="O108" s="16" t="n">
        <f aca="false">IF(N108&lt;&gt;"",N108,M108)</f>
        <v>46423</v>
      </c>
      <c r="P108" s="18" t="s">
        <v>31</v>
      </c>
      <c r="Q108" s="19" t="s">
        <v>415</v>
      </c>
      <c r="R108" s="19"/>
      <c r="S108" s="14" t="str">
        <f aca="true">IF(AND(O108&lt;TODAY(),P108&lt;&gt;"Approved",P108&lt;&gt;"Live",P108&lt;&gt;"Not applicable"),"Overdue","")</f>
        <v/>
      </c>
      <c r="T108" s="14" t="str">
        <f aca="true">IF(S108="Overdue",TODAY()-O108,"")</f>
        <v/>
      </c>
    </row>
    <row r="109" customFormat="false" ht="15" hidden="false" customHeight="false" outlineLevel="0" collapsed="false">
      <c r="A109" s="14" t="s">
        <v>416</v>
      </c>
      <c r="B109" s="15" t="s">
        <v>417</v>
      </c>
      <c r="C109" s="14" t="s">
        <v>59</v>
      </c>
      <c r="D109" s="14" t="s">
        <v>222</v>
      </c>
      <c r="E109" s="14" t="s">
        <v>102</v>
      </c>
      <c r="F109" s="15" t="s">
        <v>48</v>
      </c>
      <c r="G109" s="14" t="s">
        <v>40</v>
      </c>
      <c r="H109" s="16" t="n">
        <v>46342</v>
      </c>
      <c r="I109" s="16" t="n">
        <v>46353</v>
      </c>
      <c r="J109" s="16" t="n">
        <v>46374</v>
      </c>
      <c r="K109" s="16" t="n">
        <v>46402</v>
      </c>
      <c r="L109" s="16" t="n">
        <v>46416</v>
      </c>
      <c r="M109" s="16" t="n">
        <v>46423</v>
      </c>
      <c r="N109" s="17"/>
      <c r="O109" s="16" t="n">
        <f aca="false">IF(N109&lt;&gt;"",N109,M109)</f>
        <v>46423</v>
      </c>
      <c r="P109" s="18" t="s">
        <v>31</v>
      </c>
      <c r="Q109" s="19" t="s">
        <v>418</v>
      </c>
      <c r="R109" s="19"/>
      <c r="S109" s="14" t="str">
        <f aca="true">IF(AND(O109&lt;TODAY(),P109&lt;&gt;"Approved",P109&lt;&gt;"Live",P109&lt;&gt;"Not applicable"),"Overdue","")</f>
        <v/>
      </c>
      <c r="T109" s="14" t="str">
        <f aca="true">IF(S109="Overdue",TODAY()-O109,"")</f>
        <v/>
      </c>
    </row>
    <row r="110" customFormat="false" ht="23.85" hidden="false" customHeight="false" outlineLevel="0" collapsed="false">
      <c r="A110" s="14" t="s">
        <v>419</v>
      </c>
      <c r="B110" s="15" t="s">
        <v>420</v>
      </c>
      <c r="C110" s="14" t="s">
        <v>58</v>
      </c>
      <c r="D110" s="14" t="s">
        <v>203</v>
      </c>
      <c r="E110" s="14" t="s">
        <v>102</v>
      </c>
      <c r="F110" s="15" t="s">
        <v>49</v>
      </c>
      <c r="G110" s="14" t="s">
        <v>40</v>
      </c>
      <c r="H110" s="16" t="n">
        <v>46342</v>
      </c>
      <c r="I110" s="16" t="n">
        <v>46353</v>
      </c>
      <c r="J110" s="16" t="n">
        <v>46374</v>
      </c>
      <c r="K110" s="16" t="n">
        <v>46402</v>
      </c>
      <c r="L110" s="16" t="n">
        <v>46416</v>
      </c>
      <c r="M110" s="16" t="n">
        <v>46423</v>
      </c>
      <c r="N110" s="17"/>
      <c r="O110" s="16" t="n">
        <f aca="false">IF(N110&lt;&gt;"",N110,M110)</f>
        <v>46423</v>
      </c>
      <c r="P110" s="18" t="s">
        <v>31</v>
      </c>
      <c r="Q110" s="19" t="s">
        <v>421</v>
      </c>
      <c r="R110" s="19"/>
      <c r="S110" s="14" t="str">
        <f aca="true">IF(AND(O110&lt;TODAY(),P110&lt;&gt;"Approved",P110&lt;&gt;"Live",P110&lt;&gt;"Not applicable"),"Overdue","")</f>
        <v/>
      </c>
      <c r="T110" s="14" t="str">
        <f aca="true">IF(S110="Overdue",TODAY()-O110,"")</f>
        <v/>
      </c>
    </row>
    <row r="111" customFormat="false" ht="15" hidden="false" customHeight="false" outlineLevel="0" collapsed="false">
      <c r="A111" s="14" t="s">
        <v>422</v>
      </c>
      <c r="B111" s="15" t="s">
        <v>423</v>
      </c>
      <c r="C111" s="14" t="s">
        <v>58</v>
      </c>
      <c r="D111" s="14" t="s">
        <v>109</v>
      </c>
      <c r="E111" s="14" t="s">
        <v>102</v>
      </c>
      <c r="F111" s="15" t="s">
        <v>47</v>
      </c>
      <c r="G111" s="14" t="s">
        <v>40</v>
      </c>
      <c r="H111" s="16" t="n">
        <v>46342</v>
      </c>
      <c r="I111" s="16" t="n">
        <v>46353</v>
      </c>
      <c r="J111" s="16" t="n">
        <v>46374</v>
      </c>
      <c r="K111" s="16" t="n">
        <v>46402</v>
      </c>
      <c r="L111" s="16" t="n">
        <v>46416</v>
      </c>
      <c r="M111" s="16" t="n">
        <v>46423</v>
      </c>
      <c r="N111" s="17"/>
      <c r="O111" s="16" t="n">
        <f aca="false">IF(N111&lt;&gt;"",N111,M111)</f>
        <v>46423</v>
      </c>
      <c r="P111" s="18" t="s">
        <v>31</v>
      </c>
      <c r="Q111" s="19" t="s">
        <v>424</v>
      </c>
      <c r="R111" s="19"/>
      <c r="S111" s="14" t="str">
        <f aca="true">IF(AND(O111&lt;TODAY(),P111&lt;&gt;"Approved",P111&lt;&gt;"Live",P111&lt;&gt;"Not applicable"),"Overdue","")</f>
        <v/>
      </c>
      <c r="T111" s="14" t="str">
        <f aca="true">IF(S111="Overdue",TODAY()-O111,"")</f>
        <v/>
      </c>
    </row>
    <row r="112" customFormat="false" ht="23.85" hidden="false" customHeight="false" outlineLevel="0" collapsed="false">
      <c r="A112" s="14" t="s">
        <v>425</v>
      </c>
      <c r="B112" s="15" t="s">
        <v>426</v>
      </c>
      <c r="C112" s="14" t="s">
        <v>58</v>
      </c>
      <c r="D112" s="14" t="s">
        <v>186</v>
      </c>
      <c r="E112" s="14" t="s">
        <v>102</v>
      </c>
      <c r="F112" s="15" t="s">
        <v>51</v>
      </c>
      <c r="G112" s="14" t="s">
        <v>40</v>
      </c>
      <c r="H112" s="16" t="n">
        <v>46342</v>
      </c>
      <c r="I112" s="16" t="n">
        <v>46353</v>
      </c>
      <c r="J112" s="16" t="n">
        <v>46374</v>
      </c>
      <c r="K112" s="16" t="n">
        <v>46402</v>
      </c>
      <c r="L112" s="16" t="n">
        <v>46416</v>
      </c>
      <c r="M112" s="16" t="n">
        <v>46423</v>
      </c>
      <c r="N112" s="17"/>
      <c r="O112" s="16" t="n">
        <f aca="false">IF(N112&lt;&gt;"",N112,M112)</f>
        <v>46423</v>
      </c>
      <c r="P112" s="18" t="s">
        <v>31</v>
      </c>
      <c r="Q112" s="19" t="s">
        <v>427</v>
      </c>
      <c r="R112" s="19"/>
      <c r="S112" s="14" t="str">
        <f aca="true">IF(AND(O112&lt;TODAY(),P112&lt;&gt;"Approved",P112&lt;&gt;"Live",P112&lt;&gt;"Not applicable"),"Overdue","")</f>
        <v/>
      </c>
      <c r="T112" s="14" t="str">
        <f aca="true">IF(S112="Overdue",TODAY()-O112,"")</f>
        <v/>
      </c>
    </row>
    <row r="113" customFormat="false" ht="15" hidden="false" customHeight="false" outlineLevel="0" collapsed="false">
      <c r="A113" s="14" t="s">
        <v>428</v>
      </c>
      <c r="B113" s="15" t="s">
        <v>429</v>
      </c>
      <c r="C113" s="14" t="s">
        <v>59</v>
      </c>
      <c r="D113" s="14" t="s">
        <v>282</v>
      </c>
      <c r="E113" s="14" t="s">
        <v>102</v>
      </c>
      <c r="F113" s="15" t="s">
        <v>49</v>
      </c>
      <c r="G113" s="14" t="s">
        <v>40</v>
      </c>
      <c r="H113" s="16" t="n">
        <v>46342</v>
      </c>
      <c r="I113" s="16" t="n">
        <v>46353</v>
      </c>
      <c r="J113" s="16" t="n">
        <v>46374</v>
      </c>
      <c r="K113" s="16" t="n">
        <v>46402</v>
      </c>
      <c r="L113" s="16" t="n">
        <v>46416</v>
      </c>
      <c r="M113" s="16" t="n">
        <v>46423</v>
      </c>
      <c r="N113" s="17"/>
      <c r="O113" s="16" t="n">
        <f aca="false">IF(N113&lt;&gt;"",N113,M113)</f>
        <v>46423</v>
      </c>
      <c r="P113" s="18" t="s">
        <v>31</v>
      </c>
      <c r="Q113" s="19" t="s">
        <v>430</v>
      </c>
      <c r="R113" s="19"/>
      <c r="S113" s="14" t="str">
        <f aca="true">IF(AND(O113&lt;TODAY(),P113&lt;&gt;"Approved",P113&lt;&gt;"Live",P113&lt;&gt;"Not applicable"),"Overdue","")</f>
        <v/>
      </c>
      <c r="T113" s="14" t="str">
        <f aca="true">IF(S113="Overdue",TODAY()-O113,"")</f>
        <v/>
      </c>
    </row>
    <row r="114" customFormat="false" ht="15" hidden="false" customHeight="false" outlineLevel="0" collapsed="false">
      <c r="A114" s="14" t="s">
        <v>431</v>
      </c>
      <c r="B114" s="15" t="s">
        <v>432</v>
      </c>
      <c r="C114" s="14" t="s">
        <v>58</v>
      </c>
      <c r="D114" s="14" t="s">
        <v>148</v>
      </c>
      <c r="E114" s="14" t="s">
        <v>102</v>
      </c>
      <c r="F114" s="15" t="s">
        <v>50</v>
      </c>
      <c r="G114" s="14" t="s">
        <v>40</v>
      </c>
      <c r="H114" s="16" t="n">
        <v>46342</v>
      </c>
      <c r="I114" s="16" t="n">
        <v>46353</v>
      </c>
      <c r="J114" s="16" t="n">
        <v>46374</v>
      </c>
      <c r="K114" s="16" t="n">
        <v>46402</v>
      </c>
      <c r="L114" s="16" t="n">
        <v>46416</v>
      </c>
      <c r="M114" s="16" t="n">
        <v>46423</v>
      </c>
      <c r="N114" s="17"/>
      <c r="O114" s="16" t="n">
        <f aca="false">IF(N114&lt;&gt;"",N114,M114)</f>
        <v>46423</v>
      </c>
      <c r="P114" s="18" t="s">
        <v>31</v>
      </c>
      <c r="Q114" s="19" t="s">
        <v>433</v>
      </c>
      <c r="R114" s="19"/>
      <c r="S114" s="14" t="str">
        <f aca="true">IF(AND(O114&lt;TODAY(),P114&lt;&gt;"Approved",P114&lt;&gt;"Live",P114&lt;&gt;"Not applicable"),"Overdue","")</f>
        <v/>
      </c>
      <c r="T114" s="14" t="str">
        <f aca="true">IF(S114="Overdue",TODAY()-O114,"")</f>
        <v/>
      </c>
    </row>
    <row r="115" customFormat="false" ht="23.85" hidden="false" customHeight="false" outlineLevel="0" collapsed="false">
      <c r="A115" s="14" t="s">
        <v>434</v>
      </c>
      <c r="B115" s="15" t="s">
        <v>435</v>
      </c>
      <c r="C115" s="14" t="s">
        <v>59</v>
      </c>
      <c r="D115" s="14" t="s">
        <v>222</v>
      </c>
      <c r="E115" s="14" t="s">
        <v>102</v>
      </c>
      <c r="F115" s="15" t="s">
        <v>48</v>
      </c>
      <c r="G115" s="14" t="s">
        <v>40</v>
      </c>
      <c r="H115" s="16" t="n">
        <v>46342</v>
      </c>
      <c r="I115" s="16" t="n">
        <v>46353</v>
      </c>
      <c r="J115" s="16" t="n">
        <v>46374</v>
      </c>
      <c r="K115" s="16" t="n">
        <v>46402</v>
      </c>
      <c r="L115" s="16" t="n">
        <v>46416</v>
      </c>
      <c r="M115" s="16" t="n">
        <v>46423</v>
      </c>
      <c r="N115" s="17"/>
      <c r="O115" s="16" t="n">
        <f aca="false">IF(N115&lt;&gt;"",N115,M115)</f>
        <v>46423</v>
      </c>
      <c r="P115" s="18" t="s">
        <v>31</v>
      </c>
      <c r="Q115" s="19" t="s">
        <v>436</v>
      </c>
      <c r="R115" s="19"/>
      <c r="S115" s="14" t="str">
        <f aca="true">IF(AND(O115&lt;TODAY(),P115&lt;&gt;"Approved",P115&lt;&gt;"Live",P115&lt;&gt;"Not applicable"),"Overdue","")</f>
        <v/>
      </c>
      <c r="T115" s="14" t="str">
        <f aca="true">IF(S115="Overdue",TODAY()-O115,"")</f>
        <v/>
      </c>
    </row>
    <row r="116" customFormat="false" ht="15" hidden="false" customHeight="false" outlineLevel="0" collapsed="false">
      <c r="A116" s="14" t="s">
        <v>437</v>
      </c>
      <c r="B116" s="15" t="s">
        <v>438</v>
      </c>
      <c r="C116" s="14" t="s">
        <v>59</v>
      </c>
      <c r="D116" s="14" t="s">
        <v>282</v>
      </c>
      <c r="E116" s="14" t="s">
        <v>102</v>
      </c>
      <c r="F116" s="15" t="s">
        <v>49</v>
      </c>
      <c r="G116" s="14" t="s">
        <v>40</v>
      </c>
      <c r="H116" s="16" t="n">
        <v>46342</v>
      </c>
      <c r="I116" s="16" t="n">
        <v>46353</v>
      </c>
      <c r="J116" s="16" t="n">
        <v>46374</v>
      </c>
      <c r="K116" s="16" t="n">
        <v>46402</v>
      </c>
      <c r="L116" s="16" t="n">
        <v>46416</v>
      </c>
      <c r="M116" s="16" t="n">
        <v>46423</v>
      </c>
      <c r="N116" s="17"/>
      <c r="O116" s="16" t="n">
        <f aca="false">IF(N116&lt;&gt;"",N116,M116)</f>
        <v>46423</v>
      </c>
      <c r="P116" s="18" t="s">
        <v>31</v>
      </c>
      <c r="Q116" s="19" t="s">
        <v>439</v>
      </c>
      <c r="R116" s="19"/>
      <c r="S116" s="14" t="str">
        <f aca="true">IF(AND(O116&lt;TODAY(),P116&lt;&gt;"Approved",P116&lt;&gt;"Live",P116&lt;&gt;"Not applicable"),"Overdue","")</f>
        <v/>
      </c>
      <c r="T116" s="14" t="str">
        <f aca="true">IF(S116="Overdue",TODAY()-O116,"")</f>
        <v/>
      </c>
    </row>
    <row r="117" customFormat="false" ht="23.85" hidden="false" customHeight="false" outlineLevel="0" collapsed="false">
      <c r="A117" s="14" t="s">
        <v>440</v>
      </c>
      <c r="B117" s="15" t="s">
        <v>441</v>
      </c>
      <c r="C117" s="14" t="s">
        <v>59</v>
      </c>
      <c r="D117" s="14" t="s">
        <v>282</v>
      </c>
      <c r="E117" s="14" t="s">
        <v>102</v>
      </c>
      <c r="F117" s="15" t="s">
        <v>49</v>
      </c>
      <c r="G117" s="14" t="s">
        <v>40</v>
      </c>
      <c r="H117" s="16" t="n">
        <v>46342</v>
      </c>
      <c r="I117" s="16" t="n">
        <v>46353</v>
      </c>
      <c r="J117" s="16" t="n">
        <v>46374</v>
      </c>
      <c r="K117" s="16" t="n">
        <v>46402</v>
      </c>
      <c r="L117" s="16" t="n">
        <v>46416</v>
      </c>
      <c r="M117" s="16" t="n">
        <v>46423</v>
      </c>
      <c r="N117" s="17"/>
      <c r="O117" s="16" t="n">
        <f aca="false">IF(N117&lt;&gt;"",N117,M117)</f>
        <v>46423</v>
      </c>
      <c r="P117" s="18" t="s">
        <v>31</v>
      </c>
      <c r="Q117" s="19" t="s">
        <v>442</v>
      </c>
      <c r="R117" s="19"/>
      <c r="S117" s="14" t="str">
        <f aca="true">IF(AND(O117&lt;TODAY(),P117&lt;&gt;"Approved",P117&lt;&gt;"Live",P117&lt;&gt;"Not applicable"),"Overdue","")</f>
        <v/>
      </c>
      <c r="T117" s="14" t="str">
        <f aca="true">IF(S117="Overdue",TODAY()-O117,"")</f>
        <v/>
      </c>
    </row>
    <row r="118" customFormat="false" ht="23.85" hidden="false" customHeight="false" outlineLevel="0" collapsed="false">
      <c r="A118" s="14" t="s">
        <v>443</v>
      </c>
      <c r="B118" s="15" t="s">
        <v>444</v>
      </c>
      <c r="C118" s="14" t="s">
        <v>59</v>
      </c>
      <c r="D118" s="14" t="s">
        <v>282</v>
      </c>
      <c r="E118" s="14" t="s">
        <v>102</v>
      </c>
      <c r="F118" s="15" t="s">
        <v>49</v>
      </c>
      <c r="G118" s="14" t="s">
        <v>40</v>
      </c>
      <c r="H118" s="16" t="n">
        <v>46342</v>
      </c>
      <c r="I118" s="16" t="n">
        <v>46353</v>
      </c>
      <c r="J118" s="16" t="n">
        <v>46374</v>
      </c>
      <c r="K118" s="16" t="n">
        <v>46402</v>
      </c>
      <c r="L118" s="16" t="n">
        <v>46416</v>
      </c>
      <c r="M118" s="16" t="n">
        <v>46423</v>
      </c>
      <c r="N118" s="17"/>
      <c r="O118" s="16" t="n">
        <f aca="false">IF(N118&lt;&gt;"",N118,M118)</f>
        <v>46423</v>
      </c>
      <c r="P118" s="18" t="s">
        <v>31</v>
      </c>
      <c r="Q118" s="19" t="s">
        <v>445</v>
      </c>
      <c r="R118" s="19"/>
      <c r="S118" s="14" t="str">
        <f aca="true">IF(AND(O118&lt;TODAY(),P118&lt;&gt;"Approved",P118&lt;&gt;"Live",P118&lt;&gt;"Not applicable"),"Overdue","")</f>
        <v/>
      </c>
      <c r="T118" s="14" t="str">
        <f aca="true">IF(S118="Overdue",TODAY()-O118,"")</f>
        <v/>
      </c>
    </row>
    <row r="119" customFormat="false" ht="23.85" hidden="false" customHeight="false" outlineLevel="0" collapsed="false">
      <c r="A119" s="14" t="s">
        <v>446</v>
      </c>
      <c r="B119" s="15" t="s">
        <v>447</v>
      </c>
      <c r="C119" s="14" t="s">
        <v>58</v>
      </c>
      <c r="D119" s="14" t="s">
        <v>148</v>
      </c>
      <c r="E119" s="14" t="s">
        <v>102</v>
      </c>
      <c r="F119" s="15" t="s">
        <v>50</v>
      </c>
      <c r="G119" s="14" t="s">
        <v>40</v>
      </c>
      <c r="H119" s="16" t="n">
        <v>46342</v>
      </c>
      <c r="I119" s="16" t="n">
        <v>46353</v>
      </c>
      <c r="J119" s="16" t="n">
        <v>46374</v>
      </c>
      <c r="K119" s="16" t="n">
        <v>46402</v>
      </c>
      <c r="L119" s="16" t="n">
        <v>46416</v>
      </c>
      <c r="M119" s="16" t="n">
        <v>46423</v>
      </c>
      <c r="N119" s="17"/>
      <c r="O119" s="16" t="n">
        <f aca="false">IF(N119&lt;&gt;"",N119,M119)</f>
        <v>46423</v>
      </c>
      <c r="P119" s="18" t="s">
        <v>31</v>
      </c>
      <c r="Q119" s="19" t="s">
        <v>448</v>
      </c>
      <c r="R119" s="19"/>
      <c r="S119" s="14" t="str">
        <f aca="true">IF(AND(O119&lt;TODAY(),P119&lt;&gt;"Approved",P119&lt;&gt;"Live",P119&lt;&gt;"Not applicable"),"Overdue","")</f>
        <v/>
      </c>
      <c r="T119" s="14" t="str">
        <f aca="true">IF(S119="Overdue",TODAY()-O119,"")</f>
        <v/>
      </c>
    </row>
    <row r="120" customFormat="false" ht="15" hidden="false" customHeight="false" outlineLevel="0" collapsed="false">
      <c r="A120" s="14" t="s">
        <v>449</v>
      </c>
      <c r="B120" s="15" t="s">
        <v>450</v>
      </c>
      <c r="C120" s="14" t="s">
        <v>58</v>
      </c>
      <c r="D120" s="14" t="s">
        <v>148</v>
      </c>
      <c r="E120" s="14" t="s">
        <v>102</v>
      </c>
      <c r="F120" s="15" t="s">
        <v>50</v>
      </c>
      <c r="G120" s="14" t="s">
        <v>40</v>
      </c>
      <c r="H120" s="16" t="n">
        <v>46342</v>
      </c>
      <c r="I120" s="16" t="n">
        <v>46353</v>
      </c>
      <c r="J120" s="16" t="n">
        <v>46374</v>
      </c>
      <c r="K120" s="16" t="n">
        <v>46402</v>
      </c>
      <c r="L120" s="16" t="n">
        <v>46416</v>
      </c>
      <c r="M120" s="16" t="n">
        <v>46423</v>
      </c>
      <c r="N120" s="17"/>
      <c r="O120" s="16" t="n">
        <f aca="false">IF(N120&lt;&gt;"",N120,M120)</f>
        <v>46423</v>
      </c>
      <c r="P120" s="18" t="s">
        <v>31</v>
      </c>
      <c r="Q120" s="19" t="s">
        <v>451</v>
      </c>
      <c r="R120" s="19"/>
      <c r="S120" s="14" t="str">
        <f aca="true">IF(AND(O120&lt;TODAY(),P120&lt;&gt;"Approved",P120&lt;&gt;"Live",P120&lt;&gt;"Not applicable"),"Overdue","")</f>
        <v/>
      </c>
      <c r="T120" s="14" t="str">
        <f aca="true">IF(S120="Overdue",TODAY()-O120,"")</f>
        <v/>
      </c>
    </row>
    <row r="121" customFormat="false" ht="15" hidden="false" customHeight="false" outlineLevel="0" collapsed="false">
      <c r="A121" s="14" t="s">
        <v>452</v>
      </c>
      <c r="B121" s="15" t="s">
        <v>453</v>
      </c>
      <c r="C121" s="14" t="s">
        <v>59</v>
      </c>
      <c r="D121" s="14" t="s">
        <v>190</v>
      </c>
      <c r="E121" s="14" t="s">
        <v>102</v>
      </c>
      <c r="F121" s="15" t="s">
        <v>48</v>
      </c>
      <c r="G121" s="14" t="s">
        <v>40</v>
      </c>
      <c r="H121" s="16" t="n">
        <v>46342</v>
      </c>
      <c r="I121" s="16" t="n">
        <v>46353</v>
      </c>
      <c r="J121" s="16" t="n">
        <v>46374</v>
      </c>
      <c r="K121" s="16" t="n">
        <v>46402</v>
      </c>
      <c r="L121" s="16" t="n">
        <v>46416</v>
      </c>
      <c r="M121" s="16" t="n">
        <v>46423</v>
      </c>
      <c r="N121" s="17"/>
      <c r="O121" s="16" t="n">
        <f aca="false">IF(N121&lt;&gt;"",N121,M121)</f>
        <v>46423</v>
      </c>
      <c r="P121" s="18" t="s">
        <v>31</v>
      </c>
      <c r="Q121" s="19" t="s">
        <v>454</v>
      </c>
      <c r="R121" s="19"/>
      <c r="S121" s="14" t="str">
        <f aca="true">IF(AND(O121&lt;TODAY(),P121&lt;&gt;"Approved",P121&lt;&gt;"Live",P121&lt;&gt;"Not applicable"),"Overdue","")</f>
        <v/>
      </c>
      <c r="T121" s="14" t="str">
        <f aca="true">IF(S121="Overdue",TODAY()-O121,"")</f>
        <v/>
      </c>
    </row>
    <row r="122" customFormat="false" ht="23.85" hidden="false" customHeight="false" outlineLevel="0" collapsed="false">
      <c r="A122" s="14" t="s">
        <v>455</v>
      </c>
      <c r="B122" s="15" t="s">
        <v>456</v>
      </c>
      <c r="C122" s="14" t="s">
        <v>59</v>
      </c>
      <c r="D122" s="14" t="s">
        <v>222</v>
      </c>
      <c r="E122" s="14" t="s">
        <v>102</v>
      </c>
      <c r="F122" s="15" t="s">
        <v>48</v>
      </c>
      <c r="G122" s="14" t="s">
        <v>40</v>
      </c>
      <c r="H122" s="16" t="n">
        <v>46342</v>
      </c>
      <c r="I122" s="16" t="n">
        <v>46353</v>
      </c>
      <c r="J122" s="16" t="n">
        <v>46374</v>
      </c>
      <c r="K122" s="16" t="n">
        <v>46402</v>
      </c>
      <c r="L122" s="16" t="n">
        <v>46416</v>
      </c>
      <c r="M122" s="16" t="n">
        <v>46423</v>
      </c>
      <c r="N122" s="17"/>
      <c r="O122" s="16" t="n">
        <f aca="false">IF(N122&lt;&gt;"",N122,M122)</f>
        <v>46423</v>
      </c>
      <c r="P122" s="18" t="s">
        <v>31</v>
      </c>
      <c r="Q122" s="19" t="s">
        <v>457</v>
      </c>
      <c r="R122" s="19"/>
      <c r="S122" s="14" t="str">
        <f aca="true">IF(AND(O122&lt;TODAY(),P122&lt;&gt;"Approved",P122&lt;&gt;"Live",P122&lt;&gt;"Not applicable"),"Overdue","")</f>
        <v/>
      </c>
      <c r="T122" s="14" t="str">
        <f aca="true">IF(S122="Overdue",TODAY()-O122,"")</f>
        <v/>
      </c>
    </row>
    <row r="123" customFormat="false" ht="15" hidden="false" customHeight="false" outlineLevel="0" collapsed="false">
      <c r="A123" s="14" t="s">
        <v>458</v>
      </c>
      <c r="B123" s="15" t="s">
        <v>459</v>
      </c>
      <c r="C123" s="14" t="s">
        <v>58</v>
      </c>
      <c r="D123" s="14" t="s">
        <v>282</v>
      </c>
      <c r="E123" s="14" t="s">
        <v>102</v>
      </c>
      <c r="F123" s="15" t="s">
        <v>49</v>
      </c>
      <c r="G123" s="14" t="s">
        <v>40</v>
      </c>
      <c r="H123" s="16" t="n">
        <v>46342</v>
      </c>
      <c r="I123" s="16" t="n">
        <v>46353</v>
      </c>
      <c r="J123" s="16" t="n">
        <v>46374</v>
      </c>
      <c r="K123" s="16" t="n">
        <v>46402</v>
      </c>
      <c r="L123" s="16" t="n">
        <v>46416</v>
      </c>
      <c r="M123" s="16" t="n">
        <v>46423</v>
      </c>
      <c r="N123" s="17"/>
      <c r="O123" s="16" t="n">
        <f aca="false">IF(N123&lt;&gt;"",N123,M123)</f>
        <v>46423</v>
      </c>
      <c r="P123" s="18" t="s">
        <v>31</v>
      </c>
      <c r="Q123" s="19" t="s">
        <v>460</v>
      </c>
      <c r="R123" s="19"/>
      <c r="S123" s="14" t="str">
        <f aca="true">IF(AND(O123&lt;TODAY(),P123&lt;&gt;"Approved",P123&lt;&gt;"Live",P123&lt;&gt;"Not applicable"),"Overdue","")</f>
        <v/>
      </c>
      <c r="T123" s="14" t="str">
        <f aca="true">IF(S123="Overdue",TODAY()-O123,"")</f>
        <v/>
      </c>
    </row>
    <row r="124" customFormat="false" ht="15" hidden="false" customHeight="false" outlineLevel="0" collapsed="false">
      <c r="A124" s="14" t="s">
        <v>461</v>
      </c>
      <c r="B124" s="15" t="s">
        <v>462</v>
      </c>
      <c r="C124" s="14" t="s">
        <v>58</v>
      </c>
      <c r="D124" s="14" t="s">
        <v>148</v>
      </c>
      <c r="E124" s="14" t="s">
        <v>102</v>
      </c>
      <c r="F124" s="15" t="s">
        <v>50</v>
      </c>
      <c r="G124" s="14" t="s">
        <v>40</v>
      </c>
      <c r="H124" s="16" t="n">
        <v>46342</v>
      </c>
      <c r="I124" s="16" t="n">
        <v>46353</v>
      </c>
      <c r="J124" s="16" t="n">
        <v>46374</v>
      </c>
      <c r="K124" s="16" t="n">
        <v>46402</v>
      </c>
      <c r="L124" s="16" t="n">
        <v>46416</v>
      </c>
      <c r="M124" s="16" t="n">
        <v>46423</v>
      </c>
      <c r="N124" s="17"/>
      <c r="O124" s="16" t="n">
        <f aca="false">IF(N124&lt;&gt;"",N124,M124)</f>
        <v>46423</v>
      </c>
      <c r="P124" s="18" t="s">
        <v>31</v>
      </c>
      <c r="Q124" s="19" t="s">
        <v>463</v>
      </c>
      <c r="R124" s="19"/>
      <c r="S124" s="14" t="str">
        <f aca="true">IF(AND(O124&lt;TODAY(),P124&lt;&gt;"Approved",P124&lt;&gt;"Live",P124&lt;&gt;"Not applicable"),"Overdue","")</f>
        <v/>
      </c>
      <c r="T124" s="14" t="str">
        <f aca="true">IF(S124="Overdue",TODAY()-O124,"")</f>
        <v/>
      </c>
    </row>
    <row r="125" customFormat="false" ht="23.85" hidden="false" customHeight="false" outlineLevel="0" collapsed="false">
      <c r="A125" s="14" t="s">
        <v>464</v>
      </c>
      <c r="B125" s="15" t="s">
        <v>465</v>
      </c>
      <c r="C125" s="14" t="s">
        <v>59</v>
      </c>
      <c r="D125" s="14" t="s">
        <v>126</v>
      </c>
      <c r="E125" s="14" t="s">
        <v>102</v>
      </c>
      <c r="F125" s="15" t="s">
        <v>49</v>
      </c>
      <c r="G125" s="14" t="s">
        <v>40</v>
      </c>
      <c r="H125" s="16" t="n">
        <v>46342</v>
      </c>
      <c r="I125" s="16" t="n">
        <v>46353</v>
      </c>
      <c r="J125" s="16" t="n">
        <v>46374</v>
      </c>
      <c r="K125" s="16" t="n">
        <v>46402</v>
      </c>
      <c r="L125" s="16" t="n">
        <v>46416</v>
      </c>
      <c r="M125" s="16" t="n">
        <v>46423</v>
      </c>
      <c r="N125" s="17"/>
      <c r="O125" s="16" t="n">
        <f aca="false">IF(N125&lt;&gt;"",N125,M125)</f>
        <v>46423</v>
      </c>
      <c r="P125" s="18" t="s">
        <v>31</v>
      </c>
      <c r="Q125" s="19" t="s">
        <v>466</v>
      </c>
      <c r="R125" s="19"/>
      <c r="S125" s="14" t="str">
        <f aca="true">IF(AND(O125&lt;TODAY(),P125&lt;&gt;"Approved",P125&lt;&gt;"Live",P125&lt;&gt;"Not applicable"),"Overdue","")</f>
        <v/>
      </c>
      <c r="T125" s="14" t="str">
        <f aca="true">IF(S125="Overdue",TODAY()-O125,"")</f>
        <v/>
      </c>
    </row>
    <row r="126" customFormat="false" ht="46.25" hidden="false" customHeight="false" outlineLevel="0" collapsed="false">
      <c r="A126" s="14" t="s">
        <v>467</v>
      </c>
      <c r="B126" s="15" t="s">
        <v>468</v>
      </c>
      <c r="C126" s="14" t="s">
        <v>55</v>
      </c>
      <c r="D126" s="14" t="s">
        <v>109</v>
      </c>
      <c r="E126" s="14" t="s">
        <v>102</v>
      </c>
      <c r="F126" s="15" t="s">
        <v>47</v>
      </c>
      <c r="G126" s="14" t="s">
        <v>40</v>
      </c>
      <c r="H126" s="16" t="n">
        <v>46342</v>
      </c>
      <c r="I126" s="16" t="n">
        <v>46353</v>
      </c>
      <c r="J126" s="16" t="n">
        <v>46374</v>
      </c>
      <c r="K126" s="16" t="n">
        <v>46402</v>
      </c>
      <c r="L126" s="16" t="n">
        <v>46416</v>
      </c>
      <c r="M126" s="16" t="n">
        <v>46423</v>
      </c>
      <c r="N126" s="17"/>
      <c r="O126" s="16" t="n">
        <f aca="false">IF(N126&lt;&gt;"",N126,M126)</f>
        <v>46423</v>
      </c>
      <c r="P126" s="18" t="s">
        <v>31</v>
      </c>
      <c r="Q126" s="19" t="s">
        <v>469</v>
      </c>
      <c r="R126" s="19"/>
      <c r="S126" s="14" t="str">
        <f aca="true">IF(AND(O126&lt;TODAY(),P126&lt;&gt;"Approved",P126&lt;&gt;"Live",P126&lt;&gt;"Not applicable"),"Overdue","")</f>
        <v/>
      </c>
      <c r="T126" s="14" t="str">
        <f aca="true">IF(S126="Overdue",TODAY()-O126,"")</f>
        <v/>
      </c>
    </row>
    <row r="127" customFormat="false" ht="35.05" hidden="false" customHeight="false" outlineLevel="0" collapsed="false">
      <c r="A127" s="14" t="s">
        <v>470</v>
      </c>
      <c r="B127" s="15" t="s">
        <v>471</v>
      </c>
      <c r="C127" s="14" t="s">
        <v>55</v>
      </c>
      <c r="D127" s="14" t="s">
        <v>109</v>
      </c>
      <c r="E127" s="14" t="s">
        <v>102</v>
      </c>
      <c r="F127" s="15" t="s">
        <v>47</v>
      </c>
      <c r="G127" s="14" t="s">
        <v>40</v>
      </c>
      <c r="H127" s="16" t="n">
        <v>46342</v>
      </c>
      <c r="I127" s="16" t="n">
        <v>46353</v>
      </c>
      <c r="J127" s="16" t="n">
        <v>46374</v>
      </c>
      <c r="K127" s="16" t="n">
        <v>46402</v>
      </c>
      <c r="L127" s="16" t="n">
        <v>46416</v>
      </c>
      <c r="M127" s="16" t="n">
        <v>46423</v>
      </c>
      <c r="N127" s="17"/>
      <c r="O127" s="16" t="n">
        <f aca="false">IF(N127&lt;&gt;"",N127,M127)</f>
        <v>46423</v>
      </c>
      <c r="P127" s="18" t="s">
        <v>31</v>
      </c>
      <c r="Q127" s="19" t="s">
        <v>472</v>
      </c>
      <c r="R127" s="19"/>
      <c r="S127" s="14" t="str">
        <f aca="true">IF(AND(O127&lt;TODAY(),P127&lt;&gt;"Approved",P127&lt;&gt;"Live",P127&lt;&gt;"Not applicable"),"Overdue","")</f>
        <v/>
      </c>
      <c r="T127" s="14" t="str">
        <f aca="true">IF(S127="Overdue",TODAY()-O127,"")</f>
        <v/>
      </c>
    </row>
    <row r="128" customFormat="false" ht="35.05" hidden="false" customHeight="false" outlineLevel="0" collapsed="false">
      <c r="A128" s="14" t="s">
        <v>473</v>
      </c>
      <c r="B128" s="15" t="s">
        <v>474</v>
      </c>
      <c r="C128" s="14" t="s">
        <v>55</v>
      </c>
      <c r="D128" s="14" t="s">
        <v>222</v>
      </c>
      <c r="E128" s="14" t="s">
        <v>102</v>
      </c>
      <c r="F128" s="15" t="s">
        <v>48</v>
      </c>
      <c r="G128" s="14" t="s">
        <v>40</v>
      </c>
      <c r="H128" s="16" t="n">
        <v>46349</v>
      </c>
      <c r="I128" s="16" t="n">
        <v>46360</v>
      </c>
      <c r="J128" s="16" t="n">
        <v>46395</v>
      </c>
      <c r="K128" s="16" t="n">
        <v>46409</v>
      </c>
      <c r="L128" s="16" t="n">
        <v>46423</v>
      </c>
      <c r="M128" s="16" t="n">
        <v>46430</v>
      </c>
      <c r="N128" s="17"/>
      <c r="O128" s="16" t="n">
        <f aca="false">IF(N128&lt;&gt;"",N128,M128)</f>
        <v>46430</v>
      </c>
      <c r="P128" s="18" t="s">
        <v>31</v>
      </c>
      <c r="Q128" s="19" t="s">
        <v>475</v>
      </c>
      <c r="R128" s="19"/>
      <c r="S128" s="14" t="str">
        <f aca="true">IF(AND(O128&lt;TODAY(),P128&lt;&gt;"Approved",P128&lt;&gt;"Live",P128&lt;&gt;"Not applicable"),"Overdue","")</f>
        <v/>
      </c>
      <c r="T128" s="14" t="str">
        <f aca="true">IF(S128="Overdue",TODAY()-O128,"")</f>
        <v/>
      </c>
    </row>
    <row r="129" customFormat="false" ht="46.25" hidden="false" customHeight="false" outlineLevel="0" collapsed="false">
      <c r="A129" s="14" t="s">
        <v>476</v>
      </c>
      <c r="B129" s="15" t="s">
        <v>477</v>
      </c>
      <c r="C129" s="14" t="s">
        <v>55</v>
      </c>
      <c r="D129" s="14" t="s">
        <v>222</v>
      </c>
      <c r="E129" s="14" t="s">
        <v>102</v>
      </c>
      <c r="F129" s="15" t="s">
        <v>48</v>
      </c>
      <c r="G129" s="14" t="s">
        <v>40</v>
      </c>
      <c r="H129" s="16" t="n">
        <v>46349</v>
      </c>
      <c r="I129" s="16" t="n">
        <v>46360</v>
      </c>
      <c r="J129" s="16" t="n">
        <v>46395</v>
      </c>
      <c r="K129" s="16" t="n">
        <v>46409</v>
      </c>
      <c r="L129" s="16" t="n">
        <v>46423</v>
      </c>
      <c r="M129" s="16" t="n">
        <v>46430</v>
      </c>
      <c r="N129" s="17"/>
      <c r="O129" s="16" t="n">
        <f aca="false">IF(N129&lt;&gt;"",N129,M129)</f>
        <v>46430</v>
      </c>
      <c r="P129" s="18" t="s">
        <v>31</v>
      </c>
      <c r="Q129" s="19" t="s">
        <v>478</v>
      </c>
      <c r="R129" s="19"/>
      <c r="S129" s="14" t="str">
        <f aca="true">IF(AND(O129&lt;TODAY(),P129&lt;&gt;"Approved",P129&lt;&gt;"Live",P129&lt;&gt;"Not applicable"),"Overdue","")</f>
        <v/>
      </c>
      <c r="T129" s="14" t="str">
        <f aca="true">IF(S129="Overdue",TODAY()-O129,"")</f>
        <v/>
      </c>
    </row>
    <row r="130" customFormat="false" ht="23.85" hidden="false" customHeight="false" outlineLevel="0" collapsed="false">
      <c r="A130" s="14" t="s">
        <v>479</v>
      </c>
      <c r="B130" s="15" t="s">
        <v>480</v>
      </c>
      <c r="C130" s="14" t="s">
        <v>57</v>
      </c>
      <c r="D130" s="14" t="s">
        <v>109</v>
      </c>
      <c r="E130" s="14" t="s">
        <v>102</v>
      </c>
      <c r="F130" s="15" t="s">
        <v>47</v>
      </c>
      <c r="G130" s="14" t="s">
        <v>40</v>
      </c>
      <c r="H130" s="16" t="n">
        <v>46349</v>
      </c>
      <c r="I130" s="16" t="n">
        <v>46360</v>
      </c>
      <c r="J130" s="16" t="n">
        <v>46395</v>
      </c>
      <c r="K130" s="16" t="n">
        <v>46409</v>
      </c>
      <c r="L130" s="16" t="n">
        <v>46423</v>
      </c>
      <c r="M130" s="16" t="n">
        <v>46430</v>
      </c>
      <c r="N130" s="17"/>
      <c r="O130" s="16" t="n">
        <f aca="false">IF(N130&lt;&gt;"",N130,M130)</f>
        <v>46430</v>
      </c>
      <c r="P130" s="18" t="s">
        <v>31</v>
      </c>
      <c r="Q130" s="19" t="s">
        <v>481</v>
      </c>
      <c r="R130" s="19"/>
      <c r="S130" s="14" t="str">
        <f aca="true">IF(AND(O130&lt;TODAY(),P130&lt;&gt;"Approved",P130&lt;&gt;"Live",P130&lt;&gt;"Not applicable"),"Overdue","")</f>
        <v/>
      </c>
      <c r="T130" s="14" t="str">
        <f aca="true">IF(S130="Overdue",TODAY()-O130,"")</f>
        <v/>
      </c>
    </row>
    <row r="131" customFormat="false" ht="23.85" hidden="false" customHeight="false" outlineLevel="0" collapsed="false">
      <c r="A131" s="14" t="s">
        <v>482</v>
      </c>
      <c r="B131" s="15" t="s">
        <v>483</v>
      </c>
      <c r="C131" s="14" t="s">
        <v>57</v>
      </c>
      <c r="D131" s="14" t="s">
        <v>109</v>
      </c>
      <c r="E131" s="14" t="s">
        <v>102</v>
      </c>
      <c r="F131" s="15" t="s">
        <v>47</v>
      </c>
      <c r="G131" s="14" t="s">
        <v>40</v>
      </c>
      <c r="H131" s="16" t="n">
        <v>46349</v>
      </c>
      <c r="I131" s="16" t="n">
        <v>46360</v>
      </c>
      <c r="J131" s="16" t="n">
        <v>46395</v>
      </c>
      <c r="K131" s="16" t="n">
        <v>46409</v>
      </c>
      <c r="L131" s="16" t="n">
        <v>46423</v>
      </c>
      <c r="M131" s="16" t="n">
        <v>46430</v>
      </c>
      <c r="N131" s="17"/>
      <c r="O131" s="16" t="n">
        <f aca="false">IF(N131&lt;&gt;"",N131,M131)</f>
        <v>46430</v>
      </c>
      <c r="P131" s="18" t="s">
        <v>31</v>
      </c>
      <c r="Q131" s="19" t="s">
        <v>484</v>
      </c>
      <c r="R131" s="19"/>
      <c r="S131" s="14" t="str">
        <f aca="true">IF(AND(O131&lt;TODAY(),P131&lt;&gt;"Approved",P131&lt;&gt;"Live",P131&lt;&gt;"Not applicable"),"Overdue","")</f>
        <v/>
      </c>
      <c r="T131" s="14" t="str">
        <f aca="true">IF(S131="Overdue",TODAY()-O131,"")</f>
        <v/>
      </c>
    </row>
    <row r="132" customFormat="false" ht="23.85" hidden="false" customHeight="false" outlineLevel="0" collapsed="false">
      <c r="A132" s="14" t="s">
        <v>485</v>
      </c>
      <c r="B132" s="15" t="s">
        <v>486</v>
      </c>
      <c r="C132" s="14" t="s">
        <v>57</v>
      </c>
      <c r="D132" s="14" t="s">
        <v>109</v>
      </c>
      <c r="E132" s="14" t="s">
        <v>102</v>
      </c>
      <c r="F132" s="15" t="s">
        <v>47</v>
      </c>
      <c r="G132" s="14" t="s">
        <v>40</v>
      </c>
      <c r="H132" s="16" t="n">
        <v>46349</v>
      </c>
      <c r="I132" s="16" t="n">
        <v>46360</v>
      </c>
      <c r="J132" s="16" t="n">
        <v>46395</v>
      </c>
      <c r="K132" s="16" t="n">
        <v>46409</v>
      </c>
      <c r="L132" s="16" t="n">
        <v>46423</v>
      </c>
      <c r="M132" s="16" t="n">
        <v>46430</v>
      </c>
      <c r="N132" s="17"/>
      <c r="O132" s="16" t="n">
        <f aca="false">IF(N132&lt;&gt;"",N132,M132)</f>
        <v>46430</v>
      </c>
      <c r="P132" s="18" t="s">
        <v>31</v>
      </c>
      <c r="Q132" s="19" t="s">
        <v>487</v>
      </c>
      <c r="R132" s="19"/>
      <c r="S132" s="14" t="str">
        <f aca="true">IF(AND(O132&lt;TODAY(),P132&lt;&gt;"Approved",P132&lt;&gt;"Live",P132&lt;&gt;"Not applicable"),"Overdue","")</f>
        <v/>
      </c>
      <c r="T132" s="14" t="str">
        <f aca="true">IF(S132="Overdue",TODAY()-O132,"")</f>
        <v/>
      </c>
    </row>
    <row r="133" customFormat="false" ht="23.85" hidden="false" customHeight="false" outlineLevel="0" collapsed="false">
      <c r="A133" s="14" t="s">
        <v>488</v>
      </c>
      <c r="B133" s="15" t="s">
        <v>489</v>
      </c>
      <c r="C133" s="14" t="s">
        <v>57</v>
      </c>
      <c r="D133" s="14" t="s">
        <v>109</v>
      </c>
      <c r="E133" s="14" t="s">
        <v>116</v>
      </c>
      <c r="F133" s="15" t="s">
        <v>47</v>
      </c>
      <c r="G133" s="14" t="s">
        <v>40</v>
      </c>
      <c r="H133" s="16" t="n">
        <v>46349</v>
      </c>
      <c r="I133" s="16" t="n">
        <v>46360</v>
      </c>
      <c r="J133" s="16" t="n">
        <v>46395</v>
      </c>
      <c r="K133" s="16" t="n">
        <v>46409</v>
      </c>
      <c r="L133" s="16" t="n">
        <v>46423</v>
      </c>
      <c r="M133" s="16" t="n">
        <v>46430</v>
      </c>
      <c r="N133" s="17"/>
      <c r="O133" s="16" t="n">
        <f aca="false">IF(N133&lt;&gt;"",N133,M133)</f>
        <v>46430</v>
      </c>
      <c r="P133" s="18" t="s">
        <v>31</v>
      </c>
      <c r="Q133" s="19" t="s">
        <v>490</v>
      </c>
      <c r="R133" s="19"/>
      <c r="S133" s="14" t="str">
        <f aca="true">IF(AND(O133&lt;TODAY(),P133&lt;&gt;"Approved",P133&lt;&gt;"Live",P133&lt;&gt;"Not applicable"),"Overdue","")</f>
        <v/>
      </c>
      <c r="T133" s="14" t="str">
        <f aca="true">IF(S133="Overdue",TODAY()-O133,"")</f>
        <v/>
      </c>
    </row>
    <row r="134" customFormat="false" ht="23.85" hidden="false" customHeight="false" outlineLevel="0" collapsed="false">
      <c r="A134" s="14" t="s">
        <v>491</v>
      </c>
      <c r="B134" s="15" t="s">
        <v>492</v>
      </c>
      <c r="C134" s="14" t="s">
        <v>57</v>
      </c>
      <c r="D134" s="14" t="s">
        <v>222</v>
      </c>
      <c r="E134" s="14" t="s">
        <v>102</v>
      </c>
      <c r="F134" s="15" t="s">
        <v>48</v>
      </c>
      <c r="G134" s="14" t="s">
        <v>40</v>
      </c>
      <c r="H134" s="16" t="n">
        <v>46349</v>
      </c>
      <c r="I134" s="16" t="n">
        <v>46360</v>
      </c>
      <c r="J134" s="16" t="n">
        <v>46395</v>
      </c>
      <c r="K134" s="16" t="n">
        <v>46409</v>
      </c>
      <c r="L134" s="16" t="n">
        <v>46423</v>
      </c>
      <c r="M134" s="16" t="n">
        <v>46430</v>
      </c>
      <c r="N134" s="17"/>
      <c r="O134" s="16" t="n">
        <f aca="false">IF(N134&lt;&gt;"",N134,M134)</f>
        <v>46430</v>
      </c>
      <c r="P134" s="18" t="s">
        <v>31</v>
      </c>
      <c r="Q134" s="19" t="s">
        <v>493</v>
      </c>
      <c r="R134" s="19"/>
      <c r="S134" s="14" t="str">
        <f aca="true">IF(AND(O134&lt;TODAY(),P134&lt;&gt;"Approved",P134&lt;&gt;"Live",P134&lt;&gt;"Not applicable"),"Overdue","")</f>
        <v/>
      </c>
      <c r="T134" s="14" t="str">
        <f aca="true">IF(S134="Overdue",TODAY()-O134,"")</f>
        <v/>
      </c>
    </row>
    <row r="135" customFormat="false" ht="23.85" hidden="false" customHeight="false" outlineLevel="0" collapsed="false">
      <c r="A135" s="14" t="s">
        <v>494</v>
      </c>
      <c r="B135" s="15" t="s">
        <v>495</v>
      </c>
      <c r="C135" s="14" t="s">
        <v>56</v>
      </c>
      <c r="D135" s="14" t="s">
        <v>222</v>
      </c>
      <c r="E135" s="14" t="s">
        <v>102</v>
      </c>
      <c r="F135" s="15" t="s">
        <v>48</v>
      </c>
      <c r="G135" s="14" t="s">
        <v>40</v>
      </c>
      <c r="H135" s="16" t="n">
        <v>46349</v>
      </c>
      <c r="I135" s="16" t="n">
        <v>46360</v>
      </c>
      <c r="J135" s="16" t="n">
        <v>46395</v>
      </c>
      <c r="K135" s="16" t="n">
        <v>46409</v>
      </c>
      <c r="L135" s="16" t="n">
        <v>46423</v>
      </c>
      <c r="M135" s="16" t="n">
        <v>46430</v>
      </c>
      <c r="N135" s="17"/>
      <c r="O135" s="16" t="n">
        <f aca="false">IF(N135&lt;&gt;"",N135,M135)</f>
        <v>46430</v>
      </c>
      <c r="P135" s="18" t="s">
        <v>31</v>
      </c>
      <c r="Q135" s="19" t="s">
        <v>496</v>
      </c>
      <c r="R135" s="19"/>
      <c r="S135" s="14" t="str">
        <f aca="true">IF(AND(O135&lt;TODAY(),P135&lt;&gt;"Approved",P135&lt;&gt;"Live",P135&lt;&gt;"Not applicable"),"Overdue","")</f>
        <v/>
      </c>
      <c r="T135" s="14" t="str">
        <f aca="true">IF(S135="Overdue",TODAY()-O135,"")</f>
        <v/>
      </c>
    </row>
    <row r="136" customFormat="false" ht="15" hidden="false" customHeight="false" outlineLevel="0" collapsed="false">
      <c r="A136" s="14" t="s">
        <v>497</v>
      </c>
      <c r="B136" s="15" t="s">
        <v>498</v>
      </c>
      <c r="C136" s="14" t="s">
        <v>57</v>
      </c>
      <c r="D136" s="14" t="s">
        <v>222</v>
      </c>
      <c r="E136" s="14" t="s">
        <v>102</v>
      </c>
      <c r="F136" s="15" t="s">
        <v>48</v>
      </c>
      <c r="G136" s="14" t="s">
        <v>40</v>
      </c>
      <c r="H136" s="16" t="n">
        <v>46349</v>
      </c>
      <c r="I136" s="16" t="n">
        <v>46360</v>
      </c>
      <c r="J136" s="16" t="n">
        <v>46395</v>
      </c>
      <c r="K136" s="16" t="n">
        <v>46409</v>
      </c>
      <c r="L136" s="16" t="n">
        <v>46423</v>
      </c>
      <c r="M136" s="16" t="n">
        <v>46430</v>
      </c>
      <c r="N136" s="17"/>
      <c r="O136" s="16" t="n">
        <f aca="false">IF(N136&lt;&gt;"",N136,M136)</f>
        <v>46430</v>
      </c>
      <c r="P136" s="18" t="s">
        <v>31</v>
      </c>
      <c r="Q136" s="19" t="s">
        <v>499</v>
      </c>
      <c r="R136" s="19"/>
      <c r="S136" s="14" t="str">
        <f aca="true">IF(AND(O136&lt;TODAY(),P136&lt;&gt;"Approved",P136&lt;&gt;"Live",P136&lt;&gt;"Not applicable"),"Overdue","")</f>
        <v/>
      </c>
      <c r="T136" s="14" t="str">
        <f aca="true">IF(S136="Overdue",TODAY()-O136,"")</f>
        <v/>
      </c>
    </row>
    <row r="137" customFormat="false" ht="23.85" hidden="false" customHeight="false" outlineLevel="0" collapsed="false">
      <c r="A137" s="14" t="s">
        <v>500</v>
      </c>
      <c r="B137" s="15" t="s">
        <v>501</v>
      </c>
      <c r="C137" s="14" t="s">
        <v>57</v>
      </c>
      <c r="D137" s="14" t="s">
        <v>222</v>
      </c>
      <c r="E137" s="14" t="s">
        <v>102</v>
      </c>
      <c r="F137" s="15" t="s">
        <v>48</v>
      </c>
      <c r="G137" s="14" t="s">
        <v>40</v>
      </c>
      <c r="H137" s="16" t="n">
        <v>46349</v>
      </c>
      <c r="I137" s="16" t="n">
        <v>46360</v>
      </c>
      <c r="J137" s="16" t="n">
        <v>46395</v>
      </c>
      <c r="K137" s="16" t="n">
        <v>46409</v>
      </c>
      <c r="L137" s="16" t="n">
        <v>46423</v>
      </c>
      <c r="M137" s="16" t="n">
        <v>46430</v>
      </c>
      <c r="N137" s="17"/>
      <c r="O137" s="16" t="n">
        <f aca="false">IF(N137&lt;&gt;"",N137,M137)</f>
        <v>46430</v>
      </c>
      <c r="P137" s="18" t="s">
        <v>31</v>
      </c>
      <c r="Q137" s="19" t="s">
        <v>502</v>
      </c>
      <c r="R137" s="19"/>
      <c r="S137" s="14" t="str">
        <f aca="true">IF(AND(O137&lt;TODAY(),P137&lt;&gt;"Approved",P137&lt;&gt;"Live",P137&lt;&gt;"Not applicable"),"Overdue","")</f>
        <v/>
      </c>
      <c r="T137" s="14" t="str">
        <f aca="true">IF(S137="Overdue",TODAY()-O137,"")</f>
        <v/>
      </c>
    </row>
    <row r="138" customFormat="false" ht="23.85" hidden="false" customHeight="false" outlineLevel="0" collapsed="false">
      <c r="A138" s="14" t="s">
        <v>503</v>
      </c>
      <c r="B138" s="15" t="s">
        <v>504</v>
      </c>
      <c r="C138" s="14" t="s">
        <v>56</v>
      </c>
      <c r="D138" s="14" t="s">
        <v>282</v>
      </c>
      <c r="E138" s="14" t="s">
        <v>102</v>
      </c>
      <c r="F138" s="15" t="s">
        <v>49</v>
      </c>
      <c r="G138" s="14" t="s">
        <v>40</v>
      </c>
      <c r="H138" s="16" t="n">
        <v>46349</v>
      </c>
      <c r="I138" s="16" t="n">
        <v>46360</v>
      </c>
      <c r="J138" s="16" t="n">
        <v>46395</v>
      </c>
      <c r="K138" s="16" t="n">
        <v>46409</v>
      </c>
      <c r="L138" s="16" t="n">
        <v>46423</v>
      </c>
      <c r="M138" s="16" t="n">
        <v>46430</v>
      </c>
      <c r="N138" s="17"/>
      <c r="O138" s="16" t="n">
        <f aca="false">IF(N138&lt;&gt;"",N138,M138)</f>
        <v>46430</v>
      </c>
      <c r="P138" s="18" t="s">
        <v>31</v>
      </c>
      <c r="Q138" s="19" t="s">
        <v>505</v>
      </c>
      <c r="R138" s="19"/>
      <c r="S138" s="14" t="str">
        <f aca="true">IF(AND(O138&lt;TODAY(),P138&lt;&gt;"Approved",P138&lt;&gt;"Live",P138&lt;&gt;"Not applicable"),"Overdue","")</f>
        <v/>
      </c>
      <c r="T138" s="14" t="str">
        <f aca="true">IF(S138="Overdue",TODAY()-O138,"")</f>
        <v/>
      </c>
    </row>
    <row r="139" customFormat="false" ht="15" hidden="false" customHeight="false" outlineLevel="0" collapsed="false">
      <c r="A139" s="14" t="s">
        <v>506</v>
      </c>
      <c r="B139" s="15" t="s">
        <v>507</v>
      </c>
      <c r="C139" s="14" t="s">
        <v>56</v>
      </c>
      <c r="D139" s="14" t="s">
        <v>282</v>
      </c>
      <c r="E139" s="14" t="s">
        <v>102</v>
      </c>
      <c r="F139" s="15" t="s">
        <v>49</v>
      </c>
      <c r="G139" s="14" t="s">
        <v>40</v>
      </c>
      <c r="H139" s="16" t="n">
        <v>46349</v>
      </c>
      <c r="I139" s="16" t="n">
        <v>46360</v>
      </c>
      <c r="J139" s="16" t="n">
        <v>46395</v>
      </c>
      <c r="K139" s="16" t="n">
        <v>46409</v>
      </c>
      <c r="L139" s="16" t="n">
        <v>46423</v>
      </c>
      <c r="M139" s="16" t="n">
        <v>46430</v>
      </c>
      <c r="N139" s="17"/>
      <c r="O139" s="16" t="n">
        <f aca="false">IF(N139&lt;&gt;"",N139,M139)</f>
        <v>46430</v>
      </c>
      <c r="P139" s="18" t="s">
        <v>31</v>
      </c>
      <c r="Q139" s="19" t="s">
        <v>499</v>
      </c>
      <c r="R139" s="19"/>
      <c r="S139" s="14" t="str">
        <f aca="true">IF(AND(O139&lt;TODAY(),P139&lt;&gt;"Approved",P139&lt;&gt;"Live",P139&lt;&gt;"Not applicable"),"Overdue","")</f>
        <v/>
      </c>
      <c r="T139" s="14" t="str">
        <f aca="true">IF(S139="Overdue",TODAY()-O139,"")</f>
        <v/>
      </c>
    </row>
    <row r="140" customFormat="false" ht="23.85" hidden="false" customHeight="false" outlineLevel="0" collapsed="false">
      <c r="A140" s="14" t="s">
        <v>508</v>
      </c>
      <c r="B140" s="15" t="s">
        <v>509</v>
      </c>
      <c r="C140" s="14" t="s">
        <v>57</v>
      </c>
      <c r="D140" s="14" t="s">
        <v>282</v>
      </c>
      <c r="E140" s="14" t="s">
        <v>82</v>
      </c>
      <c r="F140" s="15" t="s">
        <v>49</v>
      </c>
      <c r="G140" s="14" t="s">
        <v>40</v>
      </c>
      <c r="H140" s="16" t="n">
        <v>46349</v>
      </c>
      <c r="I140" s="16" t="n">
        <v>46360</v>
      </c>
      <c r="J140" s="16" t="n">
        <v>46395</v>
      </c>
      <c r="K140" s="16" t="n">
        <v>46409</v>
      </c>
      <c r="L140" s="16" t="n">
        <v>46423</v>
      </c>
      <c r="M140" s="16" t="n">
        <v>46430</v>
      </c>
      <c r="N140" s="17"/>
      <c r="O140" s="16" t="n">
        <f aca="false">IF(N140&lt;&gt;"",N140,M140)</f>
        <v>46430</v>
      </c>
      <c r="P140" s="18" t="s">
        <v>31</v>
      </c>
      <c r="Q140" s="19" t="s">
        <v>510</v>
      </c>
      <c r="R140" s="19"/>
      <c r="S140" s="14" t="str">
        <f aca="true">IF(AND(O140&lt;TODAY(),P140&lt;&gt;"Approved",P140&lt;&gt;"Live",P140&lt;&gt;"Not applicable"),"Overdue","")</f>
        <v/>
      </c>
      <c r="T140" s="14" t="str">
        <f aca="true">IF(S140="Overdue",TODAY()-O140,"")</f>
        <v/>
      </c>
    </row>
    <row r="141" customFormat="false" ht="23.85" hidden="false" customHeight="false" outlineLevel="0" collapsed="false">
      <c r="A141" s="14" t="s">
        <v>511</v>
      </c>
      <c r="B141" s="15" t="s">
        <v>512</v>
      </c>
      <c r="C141" s="14" t="s">
        <v>56</v>
      </c>
      <c r="D141" s="14" t="s">
        <v>126</v>
      </c>
      <c r="E141" s="14" t="s">
        <v>102</v>
      </c>
      <c r="F141" s="15" t="s">
        <v>49</v>
      </c>
      <c r="G141" s="14" t="s">
        <v>40</v>
      </c>
      <c r="H141" s="16" t="n">
        <v>46349</v>
      </c>
      <c r="I141" s="16" t="n">
        <v>46360</v>
      </c>
      <c r="J141" s="16" t="n">
        <v>46395</v>
      </c>
      <c r="K141" s="16" t="n">
        <v>46409</v>
      </c>
      <c r="L141" s="16" t="n">
        <v>46423</v>
      </c>
      <c r="M141" s="16" t="n">
        <v>46430</v>
      </c>
      <c r="N141" s="17"/>
      <c r="O141" s="16" t="n">
        <f aca="false">IF(N141&lt;&gt;"",N141,M141)</f>
        <v>46430</v>
      </c>
      <c r="P141" s="18" t="s">
        <v>31</v>
      </c>
      <c r="Q141" s="19" t="s">
        <v>513</v>
      </c>
      <c r="R141" s="19"/>
      <c r="S141" s="14" t="str">
        <f aca="true">IF(AND(O141&lt;TODAY(),P141&lt;&gt;"Approved",P141&lt;&gt;"Live",P141&lt;&gt;"Not applicable"),"Overdue","")</f>
        <v/>
      </c>
      <c r="T141" s="14" t="str">
        <f aca="true">IF(S141="Overdue",TODAY()-O141,"")</f>
        <v/>
      </c>
    </row>
    <row r="142" customFormat="false" ht="15" hidden="false" customHeight="false" outlineLevel="0" collapsed="false">
      <c r="A142" s="14" t="s">
        <v>514</v>
      </c>
      <c r="B142" s="15" t="s">
        <v>515</v>
      </c>
      <c r="C142" s="14" t="s">
        <v>56</v>
      </c>
      <c r="D142" s="14" t="s">
        <v>126</v>
      </c>
      <c r="E142" s="14" t="s">
        <v>102</v>
      </c>
      <c r="F142" s="15" t="s">
        <v>49</v>
      </c>
      <c r="G142" s="14" t="s">
        <v>40</v>
      </c>
      <c r="H142" s="16" t="n">
        <v>46349</v>
      </c>
      <c r="I142" s="16" t="n">
        <v>46360</v>
      </c>
      <c r="J142" s="16" t="n">
        <v>46395</v>
      </c>
      <c r="K142" s="16" t="n">
        <v>46409</v>
      </c>
      <c r="L142" s="16" t="n">
        <v>46423</v>
      </c>
      <c r="M142" s="16" t="n">
        <v>46430</v>
      </c>
      <c r="N142" s="17"/>
      <c r="O142" s="16" t="n">
        <f aca="false">IF(N142&lt;&gt;"",N142,M142)</f>
        <v>46430</v>
      </c>
      <c r="P142" s="18" t="s">
        <v>31</v>
      </c>
      <c r="Q142" s="19" t="s">
        <v>516</v>
      </c>
      <c r="R142" s="19"/>
      <c r="S142" s="14" t="str">
        <f aca="true">IF(AND(O142&lt;TODAY(),P142&lt;&gt;"Approved",P142&lt;&gt;"Live",P142&lt;&gt;"Not applicable"),"Overdue","")</f>
        <v/>
      </c>
      <c r="T142" s="14" t="str">
        <f aca="true">IF(S142="Overdue",TODAY()-O142,"")</f>
        <v/>
      </c>
    </row>
    <row r="143" customFormat="false" ht="15" hidden="false" customHeight="false" outlineLevel="0" collapsed="false">
      <c r="A143" s="14" t="s">
        <v>517</v>
      </c>
      <c r="B143" s="15" t="s">
        <v>518</v>
      </c>
      <c r="C143" s="14" t="s">
        <v>57</v>
      </c>
      <c r="D143" s="14" t="s">
        <v>126</v>
      </c>
      <c r="E143" s="14" t="s">
        <v>102</v>
      </c>
      <c r="F143" s="15" t="s">
        <v>49</v>
      </c>
      <c r="G143" s="14" t="s">
        <v>40</v>
      </c>
      <c r="H143" s="16" t="n">
        <v>46349</v>
      </c>
      <c r="I143" s="16" t="n">
        <v>46360</v>
      </c>
      <c r="J143" s="16" t="n">
        <v>46395</v>
      </c>
      <c r="K143" s="16" t="n">
        <v>46409</v>
      </c>
      <c r="L143" s="16" t="n">
        <v>46423</v>
      </c>
      <c r="M143" s="16" t="n">
        <v>46430</v>
      </c>
      <c r="N143" s="17"/>
      <c r="O143" s="16" t="n">
        <f aca="false">IF(N143&lt;&gt;"",N143,M143)</f>
        <v>46430</v>
      </c>
      <c r="P143" s="18" t="s">
        <v>31</v>
      </c>
      <c r="Q143" s="19" t="s">
        <v>519</v>
      </c>
      <c r="R143" s="19"/>
      <c r="S143" s="14" t="str">
        <f aca="true">IF(AND(O143&lt;TODAY(),P143&lt;&gt;"Approved",P143&lt;&gt;"Live",P143&lt;&gt;"Not applicable"),"Overdue","")</f>
        <v/>
      </c>
      <c r="T143" s="14" t="str">
        <f aca="true">IF(S143="Overdue",TODAY()-O143,"")</f>
        <v/>
      </c>
    </row>
    <row r="144" customFormat="false" ht="23.85" hidden="false" customHeight="false" outlineLevel="0" collapsed="false">
      <c r="A144" s="14" t="s">
        <v>520</v>
      </c>
      <c r="B144" s="15" t="s">
        <v>521</v>
      </c>
      <c r="C144" s="14" t="s">
        <v>57</v>
      </c>
      <c r="D144" s="14" t="s">
        <v>126</v>
      </c>
      <c r="E144" s="14" t="s">
        <v>102</v>
      </c>
      <c r="F144" s="15" t="s">
        <v>49</v>
      </c>
      <c r="G144" s="14" t="s">
        <v>40</v>
      </c>
      <c r="H144" s="16" t="n">
        <v>46349</v>
      </c>
      <c r="I144" s="16" t="n">
        <v>46360</v>
      </c>
      <c r="J144" s="16" t="n">
        <v>46395</v>
      </c>
      <c r="K144" s="16" t="n">
        <v>46409</v>
      </c>
      <c r="L144" s="16" t="n">
        <v>46423</v>
      </c>
      <c r="M144" s="16" t="n">
        <v>46430</v>
      </c>
      <c r="N144" s="17"/>
      <c r="O144" s="16" t="n">
        <f aca="false">IF(N144&lt;&gt;"",N144,M144)</f>
        <v>46430</v>
      </c>
      <c r="P144" s="18" t="s">
        <v>31</v>
      </c>
      <c r="Q144" s="19" t="s">
        <v>522</v>
      </c>
      <c r="R144" s="19"/>
      <c r="S144" s="14" t="str">
        <f aca="true">IF(AND(O144&lt;TODAY(),P144&lt;&gt;"Approved",P144&lt;&gt;"Live",P144&lt;&gt;"Not applicable"),"Overdue","")</f>
        <v/>
      </c>
      <c r="T144" s="14" t="str">
        <f aca="true">IF(S144="Overdue",TODAY()-O144,"")</f>
        <v/>
      </c>
    </row>
    <row r="145" customFormat="false" ht="23.85" hidden="false" customHeight="false" outlineLevel="0" collapsed="false">
      <c r="A145" s="14" t="s">
        <v>523</v>
      </c>
      <c r="B145" s="15" t="s">
        <v>524</v>
      </c>
      <c r="C145" s="14" t="s">
        <v>56</v>
      </c>
      <c r="D145" s="14" t="s">
        <v>126</v>
      </c>
      <c r="E145" s="14" t="s">
        <v>82</v>
      </c>
      <c r="F145" s="15" t="s">
        <v>49</v>
      </c>
      <c r="G145" s="14" t="s">
        <v>40</v>
      </c>
      <c r="H145" s="16" t="n">
        <v>46349</v>
      </c>
      <c r="I145" s="16" t="n">
        <v>46360</v>
      </c>
      <c r="J145" s="16" t="n">
        <v>46395</v>
      </c>
      <c r="K145" s="16" t="n">
        <v>46409</v>
      </c>
      <c r="L145" s="16" t="n">
        <v>46423</v>
      </c>
      <c r="M145" s="16" t="n">
        <v>46430</v>
      </c>
      <c r="N145" s="17"/>
      <c r="O145" s="16" t="n">
        <f aca="false">IF(N145&lt;&gt;"",N145,M145)</f>
        <v>46430</v>
      </c>
      <c r="P145" s="18" t="s">
        <v>31</v>
      </c>
      <c r="Q145" s="19" t="s">
        <v>525</v>
      </c>
      <c r="R145" s="19"/>
      <c r="S145" s="14" t="str">
        <f aca="true">IF(AND(O145&lt;TODAY(),P145&lt;&gt;"Approved",P145&lt;&gt;"Live",P145&lt;&gt;"Not applicable"),"Overdue","")</f>
        <v/>
      </c>
      <c r="T145" s="14" t="str">
        <f aca="true">IF(S145="Overdue",TODAY()-O145,"")</f>
        <v/>
      </c>
    </row>
    <row r="146" customFormat="false" ht="23.85" hidden="false" customHeight="false" outlineLevel="0" collapsed="false">
      <c r="A146" s="14" t="s">
        <v>526</v>
      </c>
      <c r="B146" s="15" t="s">
        <v>527</v>
      </c>
      <c r="C146" s="14" t="s">
        <v>56</v>
      </c>
      <c r="D146" s="14" t="s">
        <v>126</v>
      </c>
      <c r="E146" s="14" t="s">
        <v>82</v>
      </c>
      <c r="F146" s="15" t="s">
        <v>49</v>
      </c>
      <c r="G146" s="14" t="s">
        <v>40</v>
      </c>
      <c r="H146" s="16" t="n">
        <v>46349</v>
      </c>
      <c r="I146" s="16" t="n">
        <v>46360</v>
      </c>
      <c r="J146" s="16" t="n">
        <v>46395</v>
      </c>
      <c r="K146" s="16" t="n">
        <v>46409</v>
      </c>
      <c r="L146" s="16" t="n">
        <v>46423</v>
      </c>
      <c r="M146" s="16" t="n">
        <v>46430</v>
      </c>
      <c r="N146" s="17"/>
      <c r="O146" s="16" t="n">
        <f aca="false">IF(N146&lt;&gt;"",N146,M146)</f>
        <v>46430</v>
      </c>
      <c r="P146" s="18" t="s">
        <v>31</v>
      </c>
      <c r="Q146" s="19" t="s">
        <v>528</v>
      </c>
      <c r="R146" s="19"/>
      <c r="S146" s="14" t="str">
        <f aca="true">IF(AND(O146&lt;TODAY(),P146&lt;&gt;"Approved",P146&lt;&gt;"Live",P146&lt;&gt;"Not applicable"),"Overdue","")</f>
        <v/>
      </c>
      <c r="T146" s="14" t="str">
        <f aca="true">IF(S146="Overdue",TODAY()-O146,"")</f>
        <v/>
      </c>
    </row>
    <row r="147" customFormat="false" ht="23.85" hidden="false" customHeight="false" outlineLevel="0" collapsed="false">
      <c r="A147" s="14" t="s">
        <v>529</v>
      </c>
      <c r="B147" s="15" t="s">
        <v>530</v>
      </c>
      <c r="C147" s="14" t="s">
        <v>57</v>
      </c>
      <c r="D147" s="14" t="s">
        <v>126</v>
      </c>
      <c r="E147" s="14" t="s">
        <v>82</v>
      </c>
      <c r="F147" s="15" t="s">
        <v>49</v>
      </c>
      <c r="G147" s="14" t="s">
        <v>40</v>
      </c>
      <c r="H147" s="16" t="n">
        <v>46349</v>
      </c>
      <c r="I147" s="16" t="n">
        <v>46360</v>
      </c>
      <c r="J147" s="16" t="n">
        <v>46395</v>
      </c>
      <c r="K147" s="16" t="n">
        <v>46409</v>
      </c>
      <c r="L147" s="16" t="n">
        <v>46423</v>
      </c>
      <c r="M147" s="16" t="n">
        <v>46430</v>
      </c>
      <c r="N147" s="17"/>
      <c r="O147" s="16" t="n">
        <f aca="false">IF(N147&lt;&gt;"",N147,M147)</f>
        <v>46430</v>
      </c>
      <c r="P147" s="18" t="s">
        <v>31</v>
      </c>
      <c r="Q147" s="19" t="s">
        <v>531</v>
      </c>
      <c r="R147" s="19"/>
      <c r="S147" s="14" t="str">
        <f aca="true">IF(AND(O147&lt;TODAY(),P147&lt;&gt;"Approved",P147&lt;&gt;"Live",P147&lt;&gt;"Not applicable"),"Overdue","")</f>
        <v/>
      </c>
      <c r="T147" s="14" t="str">
        <f aca="true">IF(S147="Overdue",TODAY()-O147,"")</f>
        <v/>
      </c>
    </row>
    <row r="148" customFormat="false" ht="23.85" hidden="false" customHeight="false" outlineLevel="0" collapsed="false">
      <c r="A148" s="14" t="s">
        <v>532</v>
      </c>
      <c r="B148" s="15" t="s">
        <v>533</v>
      </c>
      <c r="C148" s="14" t="s">
        <v>57</v>
      </c>
      <c r="D148" s="14" t="s">
        <v>126</v>
      </c>
      <c r="E148" s="14" t="s">
        <v>116</v>
      </c>
      <c r="F148" s="15" t="s">
        <v>49</v>
      </c>
      <c r="G148" s="14" t="s">
        <v>40</v>
      </c>
      <c r="H148" s="16" t="n">
        <v>46349</v>
      </c>
      <c r="I148" s="16" t="n">
        <v>46360</v>
      </c>
      <c r="J148" s="16" t="n">
        <v>46395</v>
      </c>
      <c r="K148" s="16" t="n">
        <v>46409</v>
      </c>
      <c r="L148" s="16" t="n">
        <v>46423</v>
      </c>
      <c r="M148" s="16" t="n">
        <v>46430</v>
      </c>
      <c r="N148" s="17"/>
      <c r="O148" s="16" t="n">
        <f aca="false">IF(N148&lt;&gt;"",N148,M148)</f>
        <v>46430</v>
      </c>
      <c r="P148" s="18" t="s">
        <v>31</v>
      </c>
      <c r="Q148" s="19" t="s">
        <v>534</v>
      </c>
      <c r="R148" s="19"/>
      <c r="S148" s="14" t="str">
        <f aca="true">IF(AND(O148&lt;TODAY(),P148&lt;&gt;"Approved",P148&lt;&gt;"Live",P148&lt;&gt;"Not applicable"),"Overdue","")</f>
        <v/>
      </c>
      <c r="T148" s="14" t="str">
        <f aca="true">IF(S148="Overdue",TODAY()-O148,"")</f>
        <v/>
      </c>
    </row>
    <row r="149" customFormat="false" ht="23.85" hidden="false" customHeight="false" outlineLevel="0" collapsed="false">
      <c r="A149" s="14" t="s">
        <v>535</v>
      </c>
      <c r="B149" s="15" t="s">
        <v>536</v>
      </c>
      <c r="C149" s="14" t="s">
        <v>59</v>
      </c>
      <c r="D149" s="14" t="s">
        <v>148</v>
      </c>
      <c r="E149" s="14" t="s">
        <v>102</v>
      </c>
      <c r="F149" s="15" t="s">
        <v>50</v>
      </c>
      <c r="G149" s="14" t="s">
        <v>40</v>
      </c>
      <c r="H149" s="16" t="n">
        <v>46349</v>
      </c>
      <c r="I149" s="16" t="n">
        <v>46360</v>
      </c>
      <c r="J149" s="16" t="n">
        <v>46395</v>
      </c>
      <c r="K149" s="16" t="n">
        <v>46409</v>
      </c>
      <c r="L149" s="16" t="n">
        <v>46423</v>
      </c>
      <c r="M149" s="16" t="n">
        <v>46430</v>
      </c>
      <c r="N149" s="17"/>
      <c r="O149" s="16" t="n">
        <f aca="false">IF(N149&lt;&gt;"",N149,M149)</f>
        <v>46430</v>
      </c>
      <c r="P149" s="18" t="s">
        <v>31</v>
      </c>
      <c r="Q149" s="19" t="s">
        <v>537</v>
      </c>
      <c r="R149" s="19"/>
      <c r="S149" s="14" t="str">
        <f aca="true">IF(AND(O149&lt;TODAY(),P149&lt;&gt;"Approved",P149&lt;&gt;"Live",P149&lt;&gt;"Not applicable"),"Overdue","")</f>
        <v/>
      </c>
      <c r="T149" s="14" t="str">
        <f aca="true">IF(S149="Overdue",TODAY()-O149,"")</f>
        <v/>
      </c>
    </row>
    <row r="150" customFormat="false" ht="15" hidden="false" customHeight="false" outlineLevel="0" collapsed="false">
      <c r="A150" s="14" t="s">
        <v>538</v>
      </c>
      <c r="B150" s="15" t="s">
        <v>539</v>
      </c>
      <c r="C150" s="14" t="s">
        <v>59</v>
      </c>
      <c r="D150" s="14" t="s">
        <v>148</v>
      </c>
      <c r="E150" s="14" t="s">
        <v>102</v>
      </c>
      <c r="F150" s="15" t="s">
        <v>50</v>
      </c>
      <c r="G150" s="14" t="s">
        <v>40</v>
      </c>
      <c r="H150" s="16" t="n">
        <v>46349</v>
      </c>
      <c r="I150" s="16" t="n">
        <v>46360</v>
      </c>
      <c r="J150" s="16" t="n">
        <v>46395</v>
      </c>
      <c r="K150" s="16" t="n">
        <v>46409</v>
      </c>
      <c r="L150" s="16" t="n">
        <v>46423</v>
      </c>
      <c r="M150" s="16" t="n">
        <v>46430</v>
      </c>
      <c r="N150" s="17"/>
      <c r="O150" s="16" t="n">
        <f aca="false">IF(N150&lt;&gt;"",N150,M150)</f>
        <v>46430</v>
      </c>
      <c r="P150" s="18" t="s">
        <v>31</v>
      </c>
      <c r="Q150" s="19" t="s">
        <v>540</v>
      </c>
      <c r="R150" s="19"/>
      <c r="S150" s="14" t="str">
        <f aca="true">IF(AND(O150&lt;TODAY(),P150&lt;&gt;"Approved",P150&lt;&gt;"Live",P150&lt;&gt;"Not applicable"),"Overdue","")</f>
        <v/>
      </c>
      <c r="T150" s="14" t="str">
        <f aca="true">IF(S150="Overdue",TODAY()-O150,"")</f>
        <v/>
      </c>
    </row>
    <row r="151" customFormat="false" ht="15" hidden="false" customHeight="false" outlineLevel="0" collapsed="false">
      <c r="A151" s="14" t="s">
        <v>541</v>
      </c>
      <c r="B151" s="15" t="s">
        <v>542</v>
      </c>
      <c r="C151" s="14" t="s">
        <v>62</v>
      </c>
      <c r="D151" s="14" t="s">
        <v>275</v>
      </c>
      <c r="E151" s="14" t="s">
        <v>102</v>
      </c>
      <c r="F151" s="15" t="s">
        <v>50</v>
      </c>
      <c r="G151" s="14" t="s">
        <v>40</v>
      </c>
      <c r="H151" s="16" t="n">
        <v>46349</v>
      </c>
      <c r="I151" s="16" t="n">
        <v>46360</v>
      </c>
      <c r="J151" s="16" t="n">
        <v>46395</v>
      </c>
      <c r="K151" s="16" t="n">
        <v>46409</v>
      </c>
      <c r="L151" s="16" t="n">
        <v>46423</v>
      </c>
      <c r="M151" s="16" t="n">
        <v>46430</v>
      </c>
      <c r="N151" s="17"/>
      <c r="O151" s="16" t="n">
        <f aca="false">IF(N151&lt;&gt;"",N151,M151)</f>
        <v>46430</v>
      </c>
      <c r="P151" s="18" t="s">
        <v>31</v>
      </c>
      <c r="Q151" s="19" t="s">
        <v>543</v>
      </c>
      <c r="R151" s="19"/>
      <c r="S151" s="14" t="str">
        <f aca="true">IF(AND(O151&lt;TODAY(),P151&lt;&gt;"Approved",P151&lt;&gt;"Live",P151&lt;&gt;"Not applicable"),"Overdue","")</f>
        <v/>
      </c>
      <c r="T151" s="14" t="str">
        <f aca="true">IF(S151="Overdue",TODAY()-O151,"")</f>
        <v/>
      </c>
    </row>
    <row r="152" customFormat="false" ht="23.85" hidden="false" customHeight="false" outlineLevel="0" collapsed="false">
      <c r="A152" s="14" t="s">
        <v>544</v>
      </c>
      <c r="B152" s="15" t="s">
        <v>545</v>
      </c>
      <c r="C152" s="14" t="s">
        <v>62</v>
      </c>
      <c r="D152" s="14" t="s">
        <v>275</v>
      </c>
      <c r="E152" s="14" t="s">
        <v>102</v>
      </c>
      <c r="F152" s="15" t="s">
        <v>50</v>
      </c>
      <c r="G152" s="14" t="s">
        <v>40</v>
      </c>
      <c r="H152" s="16" t="n">
        <v>46349</v>
      </c>
      <c r="I152" s="16" t="n">
        <v>46360</v>
      </c>
      <c r="J152" s="16" t="n">
        <v>46395</v>
      </c>
      <c r="K152" s="16" t="n">
        <v>46409</v>
      </c>
      <c r="L152" s="16" t="n">
        <v>46423</v>
      </c>
      <c r="M152" s="16" t="n">
        <v>46430</v>
      </c>
      <c r="N152" s="17"/>
      <c r="O152" s="16" t="n">
        <f aca="false">IF(N152&lt;&gt;"",N152,M152)</f>
        <v>46430</v>
      </c>
      <c r="P152" s="18" t="s">
        <v>31</v>
      </c>
      <c r="Q152" s="19" t="s">
        <v>546</v>
      </c>
      <c r="R152" s="19"/>
      <c r="S152" s="14" t="str">
        <f aca="true">IF(AND(O152&lt;TODAY(),P152&lt;&gt;"Approved",P152&lt;&gt;"Live",P152&lt;&gt;"Not applicable"),"Overdue","")</f>
        <v/>
      </c>
      <c r="T152" s="14" t="str">
        <f aca="true">IF(S152="Overdue",TODAY()-O152,"")</f>
        <v/>
      </c>
    </row>
    <row r="153" customFormat="false" ht="23.85" hidden="false" customHeight="false" outlineLevel="0" collapsed="false">
      <c r="A153" s="14" t="s">
        <v>547</v>
      </c>
      <c r="B153" s="15" t="s">
        <v>548</v>
      </c>
      <c r="C153" s="14" t="s">
        <v>62</v>
      </c>
      <c r="D153" s="14" t="s">
        <v>275</v>
      </c>
      <c r="E153" s="14" t="s">
        <v>102</v>
      </c>
      <c r="F153" s="15" t="s">
        <v>50</v>
      </c>
      <c r="G153" s="14" t="s">
        <v>40</v>
      </c>
      <c r="H153" s="16" t="n">
        <v>46349</v>
      </c>
      <c r="I153" s="16" t="n">
        <v>46360</v>
      </c>
      <c r="J153" s="16" t="n">
        <v>46395</v>
      </c>
      <c r="K153" s="16" t="n">
        <v>46409</v>
      </c>
      <c r="L153" s="16" t="n">
        <v>46423</v>
      </c>
      <c r="M153" s="16" t="n">
        <v>46430</v>
      </c>
      <c r="N153" s="17"/>
      <c r="O153" s="16" t="n">
        <f aca="false">IF(N153&lt;&gt;"",N153,M153)</f>
        <v>46430</v>
      </c>
      <c r="P153" s="18" t="s">
        <v>31</v>
      </c>
      <c r="Q153" s="19" t="s">
        <v>549</v>
      </c>
      <c r="R153" s="19"/>
      <c r="S153" s="14" t="str">
        <f aca="true">IF(AND(O153&lt;TODAY(),P153&lt;&gt;"Approved",P153&lt;&gt;"Live",P153&lt;&gt;"Not applicable"),"Overdue","")</f>
        <v/>
      </c>
      <c r="T153" s="14" t="str">
        <f aca="true">IF(S153="Overdue",TODAY()-O153,"")</f>
        <v/>
      </c>
    </row>
    <row r="154" customFormat="false" ht="23.85" hidden="false" customHeight="false" outlineLevel="0" collapsed="false">
      <c r="A154" s="14" t="s">
        <v>550</v>
      </c>
      <c r="B154" s="15" t="s">
        <v>551</v>
      </c>
      <c r="C154" s="14" t="s">
        <v>59</v>
      </c>
      <c r="D154" s="14" t="s">
        <v>101</v>
      </c>
      <c r="E154" s="14" t="s">
        <v>102</v>
      </c>
      <c r="F154" s="15" t="s">
        <v>46</v>
      </c>
      <c r="G154" s="14" t="s">
        <v>40</v>
      </c>
      <c r="H154" s="16" t="n">
        <v>46349</v>
      </c>
      <c r="I154" s="16" t="n">
        <v>46360</v>
      </c>
      <c r="J154" s="16" t="n">
        <v>46395</v>
      </c>
      <c r="K154" s="16" t="n">
        <v>46409</v>
      </c>
      <c r="L154" s="16" t="n">
        <v>46423</v>
      </c>
      <c r="M154" s="16" t="n">
        <v>46430</v>
      </c>
      <c r="N154" s="17"/>
      <c r="O154" s="16" t="n">
        <f aca="false">IF(N154&lt;&gt;"",N154,M154)</f>
        <v>46430</v>
      </c>
      <c r="P154" s="18" t="s">
        <v>31</v>
      </c>
      <c r="Q154" s="19" t="s">
        <v>430</v>
      </c>
      <c r="R154" s="19"/>
      <c r="S154" s="14" t="str">
        <f aca="true">IF(AND(O154&lt;TODAY(),P154&lt;&gt;"Approved",P154&lt;&gt;"Live",P154&lt;&gt;"Not applicable"),"Overdue","")</f>
        <v/>
      </c>
      <c r="T154" s="14" t="str">
        <f aca="true">IF(S154="Overdue",TODAY()-O154,"")</f>
        <v/>
      </c>
    </row>
    <row r="155" customFormat="false" ht="23.85" hidden="false" customHeight="false" outlineLevel="0" collapsed="false">
      <c r="A155" s="14" t="s">
        <v>552</v>
      </c>
      <c r="B155" s="15" t="s">
        <v>553</v>
      </c>
      <c r="C155" s="14" t="s">
        <v>59</v>
      </c>
      <c r="D155" s="14" t="s">
        <v>170</v>
      </c>
      <c r="E155" s="14" t="s">
        <v>102</v>
      </c>
      <c r="F155" s="15" t="s">
        <v>51</v>
      </c>
      <c r="G155" s="14" t="s">
        <v>40</v>
      </c>
      <c r="H155" s="16" t="n">
        <v>46349</v>
      </c>
      <c r="I155" s="16" t="n">
        <v>46360</v>
      </c>
      <c r="J155" s="16" t="n">
        <v>46395</v>
      </c>
      <c r="K155" s="16" t="n">
        <v>46409</v>
      </c>
      <c r="L155" s="16" t="n">
        <v>46423</v>
      </c>
      <c r="M155" s="16" t="n">
        <v>46430</v>
      </c>
      <c r="N155" s="17"/>
      <c r="O155" s="16" t="n">
        <f aca="false">IF(N155&lt;&gt;"",N155,M155)</f>
        <v>46430</v>
      </c>
      <c r="P155" s="18" t="s">
        <v>31</v>
      </c>
      <c r="Q155" s="19" t="s">
        <v>554</v>
      </c>
      <c r="R155" s="19"/>
      <c r="S155" s="14" t="str">
        <f aca="true">IF(AND(O155&lt;TODAY(),P155&lt;&gt;"Approved",P155&lt;&gt;"Live",P155&lt;&gt;"Not applicable"),"Overdue","")</f>
        <v/>
      </c>
      <c r="T155" s="14" t="str">
        <f aca="true">IF(S155="Overdue",TODAY()-O155,"")</f>
        <v/>
      </c>
    </row>
    <row r="156" customFormat="false" ht="35.05" hidden="false" customHeight="false" outlineLevel="0" collapsed="false">
      <c r="A156" s="14" t="s">
        <v>555</v>
      </c>
      <c r="B156" s="15" t="s">
        <v>556</v>
      </c>
      <c r="C156" s="14" t="s">
        <v>58</v>
      </c>
      <c r="D156" s="14" t="s">
        <v>81</v>
      </c>
      <c r="E156" s="14" t="s">
        <v>116</v>
      </c>
      <c r="F156" s="15" t="s">
        <v>46</v>
      </c>
      <c r="G156" s="14" t="s">
        <v>40</v>
      </c>
      <c r="H156" s="16" t="n">
        <v>46349</v>
      </c>
      <c r="I156" s="16" t="n">
        <v>46360</v>
      </c>
      <c r="J156" s="16" t="n">
        <v>46395</v>
      </c>
      <c r="K156" s="16" t="n">
        <v>46409</v>
      </c>
      <c r="L156" s="16" t="n">
        <v>46423</v>
      </c>
      <c r="M156" s="16" t="n">
        <v>46430</v>
      </c>
      <c r="N156" s="17"/>
      <c r="O156" s="16" t="n">
        <f aca="false">IF(N156&lt;&gt;"",N156,M156)</f>
        <v>46430</v>
      </c>
      <c r="P156" s="18" t="s">
        <v>31</v>
      </c>
      <c r="Q156" s="19" t="s">
        <v>557</v>
      </c>
      <c r="R156" s="19"/>
      <c r="S156" s="14" t="str">
        <f aca="true">IF(AND(O156&lt;TODAY(),P156&lt;&gt;"Approved",P156&lt;&gt;"Live",P156&lt;&gt;"Not applicable"),"Overdue","")</f>
        <v/>
      </c>
      <c r="T156" s="14" t="str">
        <f aca="true">IF(S156="Overdue",TODAY()-O156,"")</f>
        <v/>
      </c>
    </row>
    <row r="157" customFormat="false" ht="23.85" hidden="false" customHeight="false" outlineLevel="0" collapsed="false">
      <c r="A157" s="14" t="s">
        <v>558</v>
      </c>
      <c r="B157" s="15" t="s">
        <v>559</v>
      </c>
      <c r="C157" s="14" t="s">
        <v>57</v>
      </c>
      <c r="D157" s="14" t="s">
        <v>190</v>
      </c>
      <c r="E157" s="14" t="s">
        <v>102</v>
      </c>
      <c r="F157" s="15" t="s">
        <v>48</v>
      </c>
      <c r="G157" s="14" t="s">
        <v>40</v>
      </c>
      <c r="H157" s="16" t="n">
        <v>46349</v>
      </c>
      <c r="I157" s="16" t="n">
        <v>46360</v>
      </c>
      <c r="J157" s="16" t="n">
        <v>46395</v>
      </c>
      <c r="K157" s="16" t="n">
        <v>46409</v>
      </c>
      <c r="L157" s="16" t="n">
        <v>46423</v>
      </c>
      <c r="M157" s="16" t="n">
        <v>46430</v>
      </c>
      <c r="N157" s="17"/>
      <c r="O157" s="16" t="n">
        <f aca="false">IF(N157&lt;&gt;"",N157,M157)</f>
        <v>46430</v>
      </c>
      <c r="P157" s="18" t="s">
        <v>31</v>
      </c>
      <c r="Q157" s="19" t="s">
        <v>560</v>
      </c>
      <c r="R157" s="19"/>
      <c r="S157" s="14" t="str">
        <f aca="true">IF(AND(O157&lt;TODAY(),P157&lt;&gt;"Approved",P157&lt;&gt;"Live",P157&lt;&gt;"Not applicable"),"Overdue","")</f>
        <v/>
      </c>
      <c r="T157" s="14" t="str">
        <f aca="true">IF(S157="Overdue",TODAY()-O157,"")</f>
        <v/>
      </c>
    </row>
    <row r="158" customFormat="false" ht="23.85" hidden="false" customHeight="false" outlineLevel="0" collapsed="false">
      <c r="A158" s="14" t="s">
        <v>561</v>
      </c>
      <c r="B158" s="15" t="s">
        <v>562</v>
      </c>
      <c r="C158" s="14" t="s">
        <v>61</v>
      </c>
      <c r="D158" s="14" t="s">
        <v>101</v>
      </c>
      <c r="E158" s="14" t="s">
        <v>102</v>
      </c>
      <c r="F158" s="15" t="s">
        <v>46</v>
      </c>
      <c r="G158" s="14" t="s">
        <v>40</v>
      </c>
      <c r="H158" s="16" t="n">
        <v>46349</v>
      </c>
      <c r="I158" s="16" t="n">
        <v>46360</v>
      </c>
      <c r="J158" s="16" t="n">
        <v>46395</v>
      </c>
      <c r="K158" s="16" t="n">
        <v>46409</v>
      </c>
      <c r="L158" s="16" t="n">
        <v>46423</v>
      </c>
      <c r="M158" s="16" t="n">
        <v>46430</v>
      </c>
      <c r="N158" s="17"/>
      <c r="O158" s="16" t="n">
        <f aca="false">IF(N158&lt;&gt;"",N158,M158)</f>
        <v>46430</v>
      </c>
      <c r="P158" s="18" t="s">
        <v>31</v>
      </c>
      <c r="Q158" s="19" t="s">
        <v>563</v>
      </c>
      <c r="R158" s="19"/>
      <c r="S158" s="14" t="str">
        <f aca="true">IF(AND(O158&lt;TODAY(),P158&lt;&gt;"Approved",P158&lt;&gt;"Live",P158&lt;&gt;"Not applicable"),"Overdue","")</f>
        <v/>
      </c>
      <c r="T158" s="14" t="str">
        <f aca="true">IF(S158="Overdue",TODAY()-O158,"")</f>
        <v/>
      </c>
    </row>
    <row r="159" customFormat="false" ht="23.85" hidden="false" customHeight="false" outlineLevel="0" collapsed="false">
      <c r="A159" s="14" t="s">
        <v>564</v>
      </c>
      <c r="B159" s="15" t="s">
        <v>565</v>
      </c>
      <c r="C159" s="14" t="s">
        <v>58</v>
      </c>
      <c r="D159" s="14" t="s">
        <v>81</v>
      </c>
      <c r="E159" s="14" t="s">
        <v>102</v>
      </c>
      <c r="F159" s="15" t="s">
        <v>46</v>
      </c>
      <c r="G159" s="14" t="s">
        <v>40</v>
      </c>
      <c r="H159" s="16" t="n">
        <v>46349</v>
      </c>
      <c r="I159" s="16" t="n">
        <v>46360</v>
      </c>
      <c r="J159" s="16" t="n">
        <v>46395</v>
      </c>
      <c r="K159" s="16" t="n">
        <v>46409</v>
      </c>
      <c r="L159" s="16" t="n">
        <v>46423</v>
      </c>
      <c r="M159" s="16" t="n">
        <v>46430</v>
      </c>
      <c r="N159" s="17"/>
      <c r="O159" s="16" t="n">
        <f aca="false">IF(N159&lt;&gt;"",N159,M159)</f>
        <v>46430</v>
      </c>
      <c r="P159" s="18" t="s">
        <v>31</v>
      </c>
      <c r="Q159" s="19" t="s">
        <v>566</v>
      </c>
      <c r="R159" s="19"/>
      <c r="S159" s="14" t="str">
        <f aca="true">IF(AND(O159&lt;TODAY(),P159&lt;&gt;"Approved",P159&lt;&gt;"Live",P159&lt;&gt;"Not applicable"),"Overdue","")</f>
        <v/>
      </c>
      <c r="T159" s="14" t="str">
        <f aca="true">IF(S159="Overdue",TODAY()-O159,"")</f>
        <v/>
      </c>
    </row>
    <row r="160" customFormat="false" ht="23.85" hidden="false" customHeight="false" outlineLevel="0" collapsed="false">
      <c r="A160" s="14" t="s">
        <v>567</v>
      </c>
      <c r="B160" s="15" t="s">
        <v>568</v>
      </c>
      <c r="C160" s="14" t="s">
        <v>61</v>
      </c>
      <c r="D160" s="14" t="s">
        <v>101</v>
      </c>
      <c r="E160" s="14" t="s">
        <v>102</v>
      </c>
      <c r="F160" s="15" t="s">
        <v>46</v>
      </c>
      <c r="G160" s="14" t="s">
        <v>40</v>
      </c>
      <c r="H160" s="16" t="n">
        <v>46349</v>
      </c>
      <c r="I160" s="16" t="n">
        <v>46360</v>
      </c>
      <c r="J160" s="16" t="n">
        <v>46395</v>
      </c>
      <c r="K160" s="16" t="n">
        <v>46409</v>
      </c>
      <c r="L160" s="16" t="n">
        <v>46423</v>
      </c>
      <c r="M160" s="16" t="n">
        <v>46430</v>
      </c>
      <c r="N160" s="17"/>
      <c r="O160" s="16" t="n">
        <f aca="false">IF(N160&lt;&gt;"",N160,M160)</f>
        <v>46430</v>
      </c>
      <c r="P160" s="18" t="s">
        <v>31</v>
      </c>
      <c r="Q160" s="19" t="s">
        <v>569</v>
      </c>
      <c r="R160" s="19"/>
      <c r="S160" s="14" t="str">
        <f aca="true">IF(AND(O160&lt;TODAY(),P160&lt;&gt;"Approved",P160&lt;&gt;"Live",P160&lt;&gt;"Not applicable"),"Overdue","")</f>
        <v/>
      </c>
      <c r="T160" s="14" t="str">
        <f aca="true">IF(S160="Overdue",TODAY()-O160,"")</f>
        <v/>
      </c>
    </row>
    <row r="161" customFormat="false" ht="23.85" hidden="false" customHeight="false" outlineLevel="0" collapsed="false">
      <c r="A161" s="14" t="s">
        <v>570</v>
      </c>
      <c r="B161" s="15" t="s">
        <v>571</v>
      </c>
      <c r="C161" s="14" t="s">
        <v>58</v>
      </c>
      <c r="D161" s="14" t="s">
        <v>101</v>
      </c>
      <c r="E161" s="14" t="s">
        <v>102</v>
      </c>
      <c r="F161" s="15" t="s">
        <v>46</v>
      </c>
      <c r="G161" s="14" t="s">
        <v>40</v>
      </c>
      <c r="H161" s="16" t="n">
        <v>46349</v>
      </c>
      <c r="I161" s="16" t="n">
        <v>46360</v>
      </c>
      <c r="J161" s="16" t="n">
        <v>46395</v>
      </c>
      <c r="K161" s="16" t="n">
        <v>46409</v>
      </c>
      <c r="L161" s="16" t="n">
        <v>46423</v>
      </c>
      <c r="M161" s="16" t="n">
        <v>46430</v>
      </c>
      <c r="N161" s="17"/>
      <c r="O161" s="16" t="n">
        <f aca="false">IF(N161&lt;&gt;"",N161,M161)</f>
        <v>46430</v>
      </c>
      <c r="P161" s="18" t="s">
        <v>31</v>
      </c>
      <c r="Q161" s="19" t="s">
        <v>572</v>
      </c>
      <c r="R161" s="19"/>
      <c r="S161" s="14" t="str">
        <f aca="true">IF(AND(O161&lt;TODAY(),P161&lt;&gt;"Approved",P161&lt;&gt;"Live",P161&lt;&gt;"Not applicable"),"Overdue","")</f>
        <v/>
      </c>
      <c r="T161" s="14" t="str">
        <f aca="true">IF(S161="Overdue",TODAY()-O161,"")</f>
        <v/>
      </c>
    </row>
    <row r="162" customFormat="false" ht="15" hidden="false" customHeight="false" outlineLevel="0" collapsed="false">
      <c r="A162" s="14" t="s">
        <v>573</v>
      </c>
      <c r="B162" s="15" t="s">
        <v>574</v>
      </c>
      <c r="C162" s="14" t="s">
        <v>58</v>
      </c>
      <c r="D162" s="14" t="s">
        <v>186</v>
      </c>
      <c r="E162" s="14" t="s">
        <v>102</v>
      </c>
      <c r="F162" s="15" t="s">
        <v>51</v>
      </c>
      <c r="G162" s="14" t="s">
        <v>40</v>
      </c>
      <c r="H162" s="16" t="n">
        <v>46349</v>
      </c>
      <c r="I162" s="16" t="n">
        <v>46360</v>
      </c>
      <c r="J162" s="16" t="n">
        <v>46395</v>
      </c>
      <c r="K162" s="16" t="n">
        <v>46409</v>
      </c>
      <c r="L162" s="16" t="n">
        <v>46423</v>
      </c>
      <c r="M162" s="16" t="n">
        <v>46430</v>
      </c>
      <c r="N162" s="17"/>
      <c r="O162" s="16" t="n">
        <f aca="false">IF(N162&lt;&gt;"",N162,M162)</f>
        <v>46430</v>
      </c>
      <c r="P162" s="18" t="s">
        <v>31</v>
      </c>
      <c r="Q162" s="19" t="s">
        <v>575</v>
      </c>
      <c r="R162" s="19"/>
      <c r="S162" s="14" t="str">
        <f aca="true">IF(AND(O162&lt;TODAY(),P162&lt;&gt;"Approved",P162&lt;&gt;"Live",P162&lt;&gt;"Not applicable"),"Overdue","")</f>
        <v/>
      </c>
      <c r="T162" s="14" t="str">
        <f aca="true">IF(S162="Overdue",TODAY()-O162,"")</f>
        <v/>
      </c>
    </row>
    <row r="163" customFormat="false" ht="15" hidden="false" customHeight="false" outlineLevel="0" collapsed="false">
      <c r="A163" s="14" t="s">
        <v>576</v>
      </c>
      <c r="B163" s="15" t="s">
        <v>577</v>
      </c>
      <c r="C163" s="14" t="s">
        <v>58</v>
      </c>
      <c r="D163" s="14" t="s">
        <v>186</v>
      </c>
      <c r="E163" s="14" t="s">
        <v>102</v>
      </c>
      <c r="F163" s="15" t="s">
        <v>51</v>
      </c>
      <c r="G163" s="14" t="s">
        <v>40</v>
      </c>
      <c r="H163" s="16" t="n">
        <v>46349</v>
      </c>
      <c r="I163" s="16" t="n">
        <v>46360</v>
      </c>
      <c r="J163" s="16" t="n">
        <v>46395</v>
      </c>
      <c r="K163" s="16" t="n">
        <v>46409</v>
      </c>
      <c r="L163" s="16" t="n">
        <v>46423</v>
      </c>
      <c r="M163" s="16" t="n">
        <v>46430</v>
      </c>
      <c r="N163" s="17"/>
      <c r="O163" s="16" t="n">
        <f aca="false">IF(N163&lt;&gt;"",N163,M163)</f>
        <v>46430</v>
      </c>
      <c r="P163" s="18" t="s">
        <v>31</v>
      </c>
      <c r="Q163" s="19" t="s">
        <v>578</v>
      </c>
      <c r="R163" s="19"/>
      <c r="S163" s="14" t="str">
        <f aca="true">IF(AND(O163&lt;TODAY(),P163&lt;&gt;"Approved",P163&lt;&gt;"Live",P163&lt;&gt;"Not applicable"),"Overdue","")</f>
        <v/>
      </c>
      <c r="T163" s="14" t="str">
        <f aca="true">IF(S163="Overdue",TODAY()-O163,"")</f>
        <v/>
      </c>
    </row>
    <row r="164" customFormat="false" ht="23.85" hidden="false" customHeight="false" outlineLevel="0" collapsed="false">
      <c r="A164" s="14" t="s">
        <v>579</v>
      </c>
      <c r="B164" s="15" t="s">
        <v>580</v>
      </c>
      <c r="C164" s="14" t="s">
        <v>61</v>
      </c>
      <c r="D164" s="14" t="s">
        <v>186</v>
      </c>
      <c r="E164" s="14" t="s">
        <v>102</v>
      </c>
      <c r="F164" s="15" t="s">
        <v>51</v>
      </c>
      <c r="G164" s="14" t="s">
        <v>40</v>
      </c>
      <c r="H164" s="16" t="n">
        <v>46349</v>
      </c>
      <c r="I164" s="16" t="n">
        <v>46360</v>
      </c>
      <c r="J164" s="16" t="n">
        <v>46395</v>
      </c>
      <c r="K164" s="16" t="n">
        <v>46409</v>
      </c>
      <c r="L164" s="16" t="n">
        <v>46423</v>
      </c>
      <c r="M164" s="16" t="n">
        <v>46430</v>
      </c>
      <c r="N164" s="17"/>
      <c r="O164" s="16" t="n">
        <f aca="false">IF(N164&lt;&gt;"",N164,M164)</f>
        <v>46430</v>
      </c>
      <c r="P164" s="18" t="s">
        <v>31</v>
      </c>
      <c r="Q164" s="19" t="s">
        <v>581</v>
      </c>
      <c r="R164" s="19"/>
      <c r="S164" s="14" t="str">
        <f aca="true">IF(AND(O164&lt;TODAY(),P164&lt;&gt;"Approved",P164&lt;&gt;"Live",P164&lt;&gt;"Not applicable"),"Overdue","")</f>
        <v/>
      </c>
      <c r="T164" s="14" t="str">
        <f aca="true">IF(S164="Overdue",TODAY()-O164,"")</f>
        <v/>
      </c>
    </row>
    <row r="165" customFormat="false" ht="15" hidden="false" customHeight="false" outlineLevel="0" collapsed="false">
      <c r="A165" s="14" t="s">
        <v>582</v>
      </c>
      <c r="B165" s="15" t="s">
        <v>583</v>
      </c>
      <c r="C165" s="14" t="s">
        <v>58</v>
      </c>
      <c r="D165" s="14" t="s">
        <v>186</v>
      </c>
      <c r="E165" s="14" t="s">
        <v>102</v>
      </c>
      <c r="F165" s="15" t="s">
        <v>51</v>
      </c>
      <c r="G165" s="14" t="s">
        <v>40</v>
      </c>
      <c r="H165" s="16" t="n">
        <v>46349</v>
      </c>
      <c r="I165" s="16" t="n">
        <v>46360</v>
      </c>
      <c r="J165" s="16" t="n">
        <v>46395</v>
      </c>
      <c r="K165" s="16" t="n">
        <v>46409</v>
      </c>
      <c r="L165" s="16" t="n">
        <v>46423</v>
      </c>
      <c r="M165" s="16" t="n">
        <v>46430</v>
      </c>
      <c r="N165" s="17"/>
      <c r="O165" s="16" t="n">
        <f aca="false">IF(N165&lt;&gt;"",N165,M165)</f>
        <v>46430</v>
      </c>
      <c r="P165" s="18" t="s">
        <v>31</v>
      </c>
      <c r="Q165" s="19" t="s">
        <v>584</v>
      </c>
      <c r="R165" s="19"/>
      <c r="S165" s="14" t="str">
        <f aca="true">IF(AND(O165&lt;TODAY(),P165&lt;&gt;"Approved",P165&lt;&gt;"Live",P165&lt;&gt;"Not applicable"),"Overdue","")</f>
        <v/>
      </c>
      <c r="T165" s="14" t="str">
        <f aca="true">IF(S165="Overdue",TODAY()-O165,"")</f>
        <v/>
      </c>
    </row>
    <row r="166" customFormat="false" ht="15" hidden="false" customHeight="false" outlineLevel="0" collapsed="false">
      <c r="A166" s="14" t="s">
        <v>585</v>
      </c>
      <c r="B166" s="15" t="s">
        <v>586</v>
      </c>
      <c r="C166" s="14" t="s">
        <v>58</v>
      </c>
      <c r="D166" s="14" t="s">
        <v>186</v>
      </c>
      <c r="E166" s="14" t="s">
        <v>102</v>
      </c>
      <c r="F166" s="15" t="s">
        <v>51</v>
      </c>
      <c r="G166" s="14" t="s">
        <v>40</v>
      </c>
      <c r="H166" s="16" t="n">
        <v>46349</v>
      </c>
      <c r="I166" s="16" t="n">
        <v>46360</v>
      </c>
      <c r="J166" s="16" t="n">
        <v>46395</v>
      </c>
      <c r="K166" s="16" t="n">
        <v>46409</v>
      </c>
      <c r="L166" s="16" t="n">
        <v>46423</v>
      </c>
      <c r="M166" s="16" t="n">
        <v>46430</v>
      </c>
      <c r="N166" s="17"/>
      <c r="O166" s="16" t="n">
        <f aca="false">IF(N166&lt;&gt;"",N166,M166)</f>
        <v>46430</v>
      </c>
      <c r="P166" s="18" t="s">
        <v>31</v>
      </c>
      <c r="Q166" s="19" t="s">
        <v>587</v>
      </c>
      <c r="R166" s="19"/>
      <c r="S166" s="14" t="str">
        <f aca="true">IF(AND(O166&lt;TODAY(),P166&lt;&gt;"Approved",P166&lt;&gt;"Live",P166&lt;&gt;"Not applicable"),"Overdue","")</f>
        <v/>
      </c>
      <c r="T166" s="14" t="str">
        <f aca="true">IF(S166="Overdue",TODAY()-O166,"")</f>
        <v/>
      </c>
    </row>
    <row r="167" customFormat="false" ht="15" hidden="false" customHeight="false" outlineLevel="0" collapsed="false">
      <c r="A167" s="14" t="s">
        <v>588</v>
      </c>
      <c r="B167" s="15" t="s">
        <v>589</v>
      </c>
      <c r="C167" s="14" t="s">
        <v>61</v>
      </c>
      <c r="D167" s="14" t="s">
        <v>186</v>
      </c>
      <c r="E167" s="14" t="s">
        <v>102</v>
      </c>
      <c r="F167" s="15" t="s">
        <v>51</v>
      </c>
      <c r="G167" s="14" t="s">
        <v>40</v>
      </c>
      <c r="H167" s="16" t="n">
        <v>46349</v>
      </c>
      <c r="I167" s="16" t="n">
        <v>46360</v>
      </c>
      <c r="J167" s="16" t="n">
        <v>46395</v>
      </c>
      <c r="K167" s="16" t="n">
        <v>46409</v>
      </c>
      <c r="L167" s="16" t="n">
        <v>46423</v>
      </c>
      <c r="M167" s="16" t="n">
        <v>46430</v>
      </c>
      <c r="N167" s="17"/>
      <c r="O167" s="16" t="n">
        <f aca="false">IF(N167&lt;&gt;"",N167,M167)</f>
        <v>46430</v>
      </c>
      <c r="P167" s="18" t="s">
        <v>31</v>
      </c>
      <c r="Q167" s="19" t="s">
        <v>587</v>
      </c>
      <c r="R167" s="19"/>
      <c r="S167" s="14" t="str">
        <f aca="true">IF(AND(O167&lt;TODAY(),P167&lt;&gt;"Approved",P167&lt;&gt;"Live",P167&lt;&gt;"Not applicable"),"Overdue","")</f>
        <v/>
      </c>
      <c r="T167" s="14" t="str">
        <f aca="true">IF(S167="Overdue",TODAY()-O167,"")</f>
        <v/>
      </c>
    </row>
    <row r="168" customFormat="false" ht="23.85" hidden="false" customHeight="false" outlineLevel="0" collapsed="false">
      <c r="A168" s="14" t="s">
        <v>590</v>
      </c>
      <c r="B168" s="15" t="s">
        <v>591</v>
      </c>
      <c r="C168" s="14" t="s">
        <v>58</v>
      </c>
      <c r="D168" s="14" t="s">
        <v>101</v>
      </c>
      <c r="E168" s="14" t="s">
        <v>102</v>
      </c>
      <c r="F168" s="15" t="s">
        <v>46</v>
      </c>
      <c r="G168" s="14" t="s">
        <v>40</v>
      </c>
      <c r="H168" s="16" t="n">
        <v>46349</v>
      </c>
      <c r="I168" s="16" t="n">
        <v>46360</v>
      </c>
      <c r="J168" s="16" t="n">
        <v>46395</v>
      </c>
      <c r="K168" s="16" t="n">
        <v>46409</v>
      </c>
      <c r="L168" s="16" t="n">
        <v>46423</v>
      </c>
      <c r="M168" s="16" t="n">
        <v>46430</v>
      </c>
      <c r="N168" s="17"/>
      <c r="O168" s="16" t="n">
        <f aca="false">IF(N168&lt;&gt;"",N168,M168)</f>
        <v>46430</v>
      </c>
      <c r="P168" s="18" t="s">
        <v>31</v>
      </c>
      <c r="Q168" s="19" t="s">
        <v>592</v>
      </c>
      <c r="R168" s="19"/>
      <c r="S168" s="14" t="str">
        <f aca="true">IF(AND(O168&lt;TODAY(),P168&lt;&gt;"Approved",P168&lt;&gt;"Live",P168&lt;&gt;"Not applicable"),"Overdue","")</f>
        <v/>
      </c>
      <c r="T168" s="14" t="str">
        <f aca="true">IF(S168="Overdue",TODAY()-O168,"")</f>
        <v/>
      </c>
    </row>
    <row r="169" customFormat="false" ht="23.85" hidden="false" customHeight="false" outlineLevel="0" collapsed="false">
      <c r="A169" s="14" t="s">
        <v>593</v>
      </c>
      <c r="B169" s="15" t="s">
        <v>594</v>
      </c>
      <c r="C169" s="14" t="s">
        <v>61</v>
      </c>
      <c r="D169" s="14" t="s">
        <v>101</v>
      </c>
      <c r="E169" s="14" t="s">
        <v>102</v>
      </c>
      <c r="F169" s="15" t="s">
        <v>46</v>
      </c>
      <c r="G169" s="14" t="s">
        <v>40</v>
      </c>
      <c r="H169" s="16" t="n">
        <v>46349</v>
      </c>
      <c r="I169" s="16" t="n">
        <v>46360</v>
      </c>
      <c r="J169" s="16" t="n">
        <v>46395</v>
      </c>
      <c r="K169" s="16" t="n">
        <v>46409</v>
      </c>
      <c r="L169" s="16" t="n">
        <v>46423</v>
      </c>
      <c r="M169" s="16" t="n">
        <v>46430</v>
      </c>
      <c r="N169" s="17"/>
      <c r="O169" s="16" t="n">
        <f aca="false">IF(N169&lt;&gt;"",N169,M169)</f>
        <v>46430</v>
      </c>
      <c r="P169" s="18" t="s">
        <v>31</v>
      </c>
      <c r="Q169" s="19" t="s">
        <v>595</v>
      </c>
      <c r="R169" s="19"/>
      <c r="S169" s="14" t="str">
        <f aca="true">IF(AND(O169&lt;TODAY(),P169&lt;&gt;"Approved",P169&lt;&gt;"Live",P169&lt;&gt;"Not applicable"),"Overdue","")</f>
        <v/>
      </c>
      <c r="T169" s="14" t="str">
        <f aca="true">IF(S169="Overdue",TODAY()-O169,"")</f>
        <v/>
      </c>
    </row>
    <row r="170" customFormat="false" ht="23.85" hidden="false" customHeight="false" outlineLevel="0" collapsed="false">
      <c r="A170" s="14" t="s">
        <v>596</v>
      </c>
      <c r="B170" s="15" t="s">
        <v>597</v>
      </c>
      <c r="C170" s="14" t="s">
        <v>58</v>
      </c>
      <c r="D170" s="14" t="s">
        <v>186</v>
      </c>
      <c r="E170" s="14" t="s">
        <v>102</v>
      </c>
      <c r="F170" s="15" t="s">
        <v>51</v>
      </c>
      <c r="G170" s="14" t="s">
        <v>40</v>
      </c>
      <c r="H170" s="16" t="n">
        <v>46349</v>
      </c>
      <c r="I170" s="16" t="n">
        <v>46360</v>
      </c>
      <c r="J170" s="16" t="n">
        <v>46395</v>
      </c>
      <c r="K170" s="16" t="n">
        <v>46409</v>
      </c>
      <c r="L170" s="16" t="n">
        <v>46423</v>
      </c>
      <c r="M170" s="16" t="n">
        <v>46430</v>
      </c>
      <c r="N170" s="17"/>
      <c r="O170" s="16" t="n">
        <f aca="false">IF(N170&lt;&gt;"",N170,M170)</f>
        <v>46430</v>
      </c>
      <c r="P170" s="18" t="s">
        <v>31</v>
      </c>
      <c r="Q170" s="19" t="s">
        <v>598</v>
      </c>
      <c r="R170" s="19"/>
      <c r="S170" s="14" t="str">
        <f aca="true">IF(AND(O170&lt;TODAY(),P170&lt;&gt;"Approved",P170&lt;&gt;"Live",P170&lt;&gt;"Not applicable"),"Overdue","")</f>
        <v/>
      </c>
      <c r="T170" s="14" t="str">
        <f aca="true">IF(S170="Overdue",TODAY()-O170,"")</f>
        <v/>
      </c>
    </row>
    <row r="171" customFormat="false" ht="46.25" hidden="false" customHeight="false" outlineLevel="0" collapsed="false">
      <c r="A171" s="14" t="s">
        <v>599</v>
      </c>
      <c r="B171" s="15" t="s">
        <v>600</v>
      </c>
      <c r="C171" s="14" t="s">
        <v>55</v>
      </c>
      <c r="D171" s="14" t="s">
        <v>109</v>
      </c>
      <c r="E171" s="14" t="s">
        <v>102</v>
      </c>
      <c r="F171" s="15" t="s">
        <v>47</v>
      </c>
      <c r="G171" s="14" t="s">
        <v>40</v>
      </c>
      <c r="H171" s="16" t="n">
        <v>46349</v>
      </c>
      <c r="I171" s="16" t="n">
        <v>46360</v>
      </c>
      <c r="J171" s="16" t="n">
        <v>46395</v>
      </c>
      <c r="K171" s="16" t="n">
        <v>46409</v>
      </c>
      <c r="L171" s="16" t="n">
        <v>46423</v>
      </c>
      <c r="M171" s="16" t="n">
        <v>46430</v>
      </c>
      <c r="N171" s="17"/>
      <c r="O171" s="16" t="n">
        <f aca="false">IF(N171&lt;&gt;"",N171,M171)</f>
        <v>46430</v>
      </c>
      <c r="P171" s="18" t="s">
        <v>31</v>
      </c>
      <c r="Q171" s="19" t="s">
        <v>601</v>
      </c>
      <c r="R171" s="19"/>
      <c r="S171" s="14" t="str">
        <f aca="true">IF(AND(O171&lt;TODAY(),P171&lt;&gt;"Approved",P171&lt;&gt;"Live",P171&lt;&gt;"Not applicable"),"Overdue","")</f>
        <v/>
      </c>
      <c r="T171" s="14" t="str">
        <f aca="true">IF(S171="Overdue",TODAY()-O171,"")</f>
        <v/>
      </c>
    </row>
    <row r="172" customFormat="false" ht="46.25" hidden="false" customHeight="false" outlineLevel="0" collapsed="false">
      <c r="A172" s="14" t="s">
        <v>602</v>
      </c>
      <c r="B172" s="15" t="s">
        <v>603</v>
      </c>
      <c r="C172" s="14" t="s">
        <v>55</v>
      </c>
      <c r="D172" s="14" t="s">
        <v>170</v>
      </c>
      <c r="E172" s="14" t="s">
        <v>102</v>
      </c>
      <c r="F172" s="15" t="s">
        <v>51</v>
      </c>
      <c r="G172" s="14" t="s">
        <v>41</v>
      </c>
      <c r="H172" s="16" t="n">
        <v>46433</v>
      </c>
      <c r="I172" s="16" t="n">
        <v>46444</v>
      </c>
      <c r="J172" s="16" t="n">
        <v>46465</v>
      </c>
      <c r="K172" s="16" t="n">
        <v>46479</v>
      </c>
      <c r="L172" s="16" t="n">
        <v>46493</v>
      </c>
      <c r="M172" s="16" t="n">
        <v>46500</v>
      </c>
      <c r="N172" s="17"/>
      <c r="O172" s="16" t="n">
        <f aca="false">IF(N172&lt;&gt;"",N172,M172)</f>
        <v>46500</v>
      </c>
      <c r="P172" s="18" t="s">
        <v>31</v>
      </c>
      <c r="Q172" s="19" t="s">
        <v>604</v>
      </c>
      <c r="R172" s="19"/>
      <c r="S172" s="14" t="str">
        <f aca="true">IF(AND(O172&lt;TODAY(),P172&lt;&gt;"Approved",P172&lt;&gt;"Live",P172&lt;&gt;"Not applicable"),"Overdue","")</f>
        <v/>
      </c>
      <c r="T172" s="14" t="str">
        <f aca="true">IF(S172="Overdue",TODAY()-O172,"")</f>
        <v/>
      </c>
    </row>
    <row r="173" customFormat="false" ht="23.85" hidden="false" customHeight="false" outlineLevel="0" collapsed="false">
      <c r="A173" s="14" t="s">
        <v>605</v>
      </c>
      <c r="B173" s="15" t="s">
        <v>606</v>
      </c>
      <c r="C173" s="14" t="s">
        <v>57</v>
      </c>
      <c r="D173" s="14" t="s">
        <v>109</v>
      </c>
      <c r="E173" s="14" t="s">
        <v>116</v>
      </c>
      <c r="F173" s="15" t="s">
        <v>47</v>
      </c>
      <c r="G173" s="14" t="s">
        <v>41</v>
      </c>
      <c r="H173" s="16" t="n">
        <v>46433</v>
      </c>
      <c r="I173" s="16" t="n">
        <v>46444</v>
      </c>
      <c r="J173" s="16" t="n">
        <v>46465</v>
      </c>
      <c r="K173" s="16" t="n">
        <v>46479</v>
      </c>
      <c r="L173" s="16" t="n">
        <v>46493</v>
      </c>
      <c r="M173" s="16" t="n">
        <v>46500</v>
      </c>
      <c r="N173" s="17"/>
      <c r="O173" s="16" t="n">
        <f aca="false">IF(N173&lt;&gt;"",N173,M173)</f>
        <v>46500</v>
      </c>
      <c r="P173" s="18" t="s">
        <v>31</v>
      </c>
      <c r="Q173" s="19" t="s">
        <v>607</v>
      </c>
      <c r="R173" s="19"/>
      <c r="S173" s="14" t="str">
        <f aca="true">IF(AND(O173&lt;TODAY(),P173&lt;&gt;"Approved",P173&lt;&gt;"Live",P173&lt;&gt;"Not applicable"),"Overdue","")</f>
        <v/>
      </c>
      <c r="T173" s="14" t="str">
        <f aca="true">IF(S173="Overdue",TODAY()-O173,"")</f>
        <v/>
      </c>
    </row>
    <row r="174" customFormat="false" ht="15" hidden="false" customHeight="false" outlineLevel="0" collapsed="false">
      <c r="A174" s="14" t="s">
        <v>608</v>
      </c>
      <c r="B174" s="15" t="s">
        <v>609</v>
      </c>
      <c r="C174" s="14" t="s">
        <v>56</v>
      </c>
      <c r="D174" s="14" t="s">
        <v>109</v>
      </c>
      <c r="E174" s="14" t="s">
        <v>116</v>
      </c>
      <c r="F174" s="15" t="s">
        <v>47</v>
      </c>
      <c r="G174" s="14" t="s">
        <v>41</v>
      </c>
      <c r="H174" s="16" t="n">
        <v>46433</v>
      </c>
      <c r="I174" s="16" t="n">
        <v>46444</v>
      </c>
      <c r="J174" s="16" t="n">
        <v>46465</v>
      </c>
      <c r="K174" s="16" t="n">
        <v>46479</v>
      </c>
      <c r="L174" s="16" t="n">
        <v>46493</v>
      </c>
      <c r="M174" s="16" t="n">
        <v>46500</v>
      </c>
      <c r="N174" s="17"/>
      <c r="O174" s="16" t="n">
        <f aca="false">IF(N174&lt;&gt;"",N174,M174)</f>
        <v>46500</v>
      </c>
      <c r="P174" s="18" t="s">
        <v>31</v>
      </c>
      <c r="Q174" s="19" t="s">
        <v>610</v>
      </c>
      <c r="R174" s="19"/>
      <c r="S174" s="14" t="str">
        <f aca="true">IF(AND(O174&lt;TODAY(),P174&lt;&gt;"Approved",P174&lt;&gt;"Live",P174&lt;&gt;"Not applicable"),"Overdue","")</f>
        <v/>
      </c>
      <c r="T174" s="14" t="str">
        <f aca="true">IF(S174="Overdue",TODAY()-O174,"")</f>
        <v/>
      </c>
    </row>
    <row r="175" customFormat="false" ht="23.85" hidden="false" customHeight="false" outlineLevel="0" collapsed="false">
      <c r="A175" s="14" t="s">
        <v>611</v>
      </c>
      <c r="B175" s="15" t="s">
        <v>612</v>
      </c>
      <c r="C175" s="14" t="s">
        <v>56</v>
      </c>
      <c r="D175" s="14" t="s">
        <v>109</v>
      </c>
      <c r="E175" s="14" t="s">
        <v>102</v>
      </c>
      <c r="F175" s="15" t="s">
        <v>47</v>
      </c>
      <c r="G175" s="14" t="s">
        <v>41</v>
      </c>
      <c r="H175" s="16" t="n">
        <v>46433</v>
      </c>
      <c r="I175" s="16" t="n">
        <v>46444</v>
      </c>
      <c r="J175" s="16" t="n">
        <v>46465</v>
      </c>
      <c r="K175" s="16" t="n">
        <v>46479</v>
      </c>
      <c r="L175" s="16" t="n">
        <v>46493</v>
      </c>
      <c r="M175" s="16" t="n">
        <v>46500</v>
      </c>
      <c r="N175" s="17"/>
      <c r="O175" s="16" t="n">
        <f aca="false">IF(N175&lt;&gt;"",N175,M175)</f>
        <v>46500</v>
      </c>
      <c r="P175" s="18" t="s">
        <v>31</v>
      </c>
      <c r="Q175" s="19" t="s">
        <v>613</v>
      </c>
      <c r="R175" s="19"/>
      <c r="S175" s="14" t="str">
        <f aca="true">IF(AND(O175&lt;TODAY(),P175&lt;&gt;"Approved",P175&lt;&gt;"Live",P175&lt;&gt;"Not applicable"),"Overdue","")</f>
        <v/>
      </c>
      <c r="T175" s="14" t="str">
        <f aca="true">IF(S175="Overdue",TODAY()-O175,"")</f>
        <v/>
      </c>
    </row>
    <row r="176" customFormat="false" ht="23.85" hidden="false" customHeight="false" outlineLevel="0" collapsed="false">
      <c r="A176" s="14" t="s">
        <v>614</v>
      </c>
      <c r="B176" s="15" t="s">
        <v>615</v>
      </c>
      <c r="C176" s="14" t="s">
        <v>56</v>
      </c>
      <c r="D176" s="14" t="s">
        <v>232</v>
      </c>
      <c r="E176" s="14" t="s">
        <v>82</v>
      </c>
      <c r="F176" s="15" t="s">
        <v>49</v>
      </c>
      <c r="G176" s="14" t="s">
        <v>41</v>
      </c>
      <c r="H176" s="16" t="n">
        <v>46433</v>
      </c>
      <c r="I176" s="16" t="n">
        <v>46444</v>
      </c>
      <c r="J176" s="16" t="n">
        <v>46465</v>
      </c>
      <c r="K176" s="16" t="n">
        <v>46479</v>
      </c>
      <c r="L176" s="16" t="n">
        <v>46493</v>
      </c>
      <c r="M176" s="16" t="n">
        <v>46500</v>
      </c>
      <c r="N176" s="17"/>
      <c r="O176" s="16" t="n">
        <f aca="false">IF(N176&lt;&gt;"",N176,M176)</f>
        <v>46500</v>
      </c>
      <c r="P176" s="18" t="s">
        <v>31</v>
      </c>
      <c r="Q176" s="19" t="s">
        <v>616</v>
      </c>
      <c r="R176" s="19"/>
      <c r="S176" s="14" t="str">
        <f aca="true">IF(AND(O176&lt;TODAY(),P176&lt;&gt;"Approved",P176&lt;&gt;"Live",P176&lt;&gt;"Not applicable"),"Overdue","")</f>
        <v/>
      </c>
      <c r="T176" s="14" t="str">
        <f aca="true">IF(S176="Overdue",TODAY()-O176,"")</f>
        <v/>
      </c>
    </row>
    <row r="177" customFormat="false" ht="23.85" hidden="false" customHeight="false" outlineLevel="0" collapsed="false">
      <c r="A177" s="14" t="s">
        <v>617</v>
      </c>
      <c r="B177" s="15" t="s">
        <v>618</v>
      </c>
      <c r="C177" s="14" t="s">
        <v>56</v>
      </c>
      <c r="D177" s="14" t="s">
        <v>232</v>
      </c>
      <c r="E177" s="14" t="s">
        <v>82</v>
      </c>
      <c r="F177" s="15" t="s">
        <v>49</v>
      </c>
      <c r="G177" s="14" t="s">
        <v>41</v>
      </c>
      <c r="H177" s="16" t="n">
        <v>46433</v>
      </c>
      <c r="I177" s="16" t="n">
        <v>46444</v>
      </c>
      <c r="J177" s="16" t="n">
        <v>46465</v>
      </c>
      <c r="K177" s="16" t="n">
        <v>46479</v>
      </c>
      <c r="L177" s="16" t="n">
        <v>46493</v>
      </c>
      <c r="M177" s="16" t="n">
        <v>46500</v>
      </c>
      <c r="N177" s="17"/>
      <c r="O177" s="16" t="n">
        <f aca="false">IF(N177&lt;&gt;"",N177,M177)</f>
        <v>46500</v>
      </c>
      <c r="P177" s="18" t="s">
        <v>31</v>
      </c>
      <c r="Q177" s="19" t="s">
        <v>619</v>
      </c>
      <c r="R177" s="19"/>
      <c r="S177" s="14" t="str">
        <f aca="true">IF(AND(O177&lt;TODAY(),P177&lt;&gt;"Approved",P177&lt;&gt;"Live",P177&lt;&gt;"Not applicable"),"Overdue","")</f>
        <v/>
      </c>
      <c r="T177" s="14" t="str">
        <f aca="true">IF(S177="Overdue",TODAY()-O177,"")</f>
        <v/>
      </c>
    </row>
    <row r="178" customFormat="false" ht="23.85" hidden="false" customHeight="false" outlineLevel="0" collapsed="false">
      <c r="A178" s="14" t="s">
        <v>620</v>
      </c>
      <c r="B178" s="15" t="s">
        <v>621</v>
      </c>
      <c r="C178" s="14" t="s">
        <v>56</v>
      </c>
      <c r="D178" s="14" t="s">
        <v>232</v>
      </c>
      <c r="E178" s="14" t="s">
        <v>82</v>
      </c>
      <c r="F178" s="15" t="s">
        <v>49</v>
      </c>
      <c r="G178" s="14" t="s">
        <v>41</v>
      </c>
      <c r="H178" s="16" t="n">
        <v>46433</v>
      </c>
      <c r="I178" s="16" t="n">
        <v>46444</v>
      </c>
      <c r="J178" s="16" t="n">
        <v>46465</v>
      </c>
      <c r="K178" s="16" t="n">
        <v>46479</v>
      </c>
      <c r="L178" s="16" t="n">
        <v>46493</v>
      </c>
      <c r="M178" s="16" t="n">
        <v>46500</v>
      </c>
      <c r="N178" s="17"/>
      <c r="O178" s="16" t="n">
        <f aca="false">IF(N178&lt;&gt;"",N178,M178)</f>
        <v>46500</v>
      </c>
      <c r="P178" s="18" t="s">
        <v>31</v>
      </c>
      <c r="Q178" s="19" t="s">
        <v>622</v>
      </c>
      <c r="R178" s="19"/>
      <c r="S178" s="14" t="str">
        <f aca="true">IF(AND(O178&lt;TODAY(),P178&lt;&gt;"Approved",P178&lt;&gt;"Live",P178&lt;&gt;"Not applicable"),"Overdue","")</f>
        <v/>
      </c>
      <c r="T178" s="14" t="str">
        <f aca="true">IF(S178="Overdue",TODAY()-O178,"")</f>
        <v/>
      </c>
    </row>
    <row r="179" customFormat="false" ht="23.85" hidden="false" customHeight="false" outlineLevel="0" collapsed="false">
      <c r="A179" s="14" t="s">
        <v>623</v>
      </c>
      <c r="B179" s="15" t="s">
        <v>624</v>
      </c>
      <c r="C179" s="14" t="s">
        <v>57</v>
      </c>
      <c r="D179" s="14" t="s">
        <v>232</v>
      </c>
      <c r="E179" s="14" t="s">
        <v>82</v>
      </c>
      <c r="F179" s="15" t="s">
        <v>49</v>
      </c>
      <c r="G179" s="14" t="s">
        <v>41</v>
      </c>
      <c r="H179" s="16" t="n">
        <v>46433</v>
      </c>
      <c r="I179" s="16" t="n">
        <v>46444</v>
      </c>
      <c r="J179" s="16" t="n">
        <v>46465</v>
      </c>
      <c r="K179" s="16" t="n">
        <v>46479</v>
      </c>
      <c r="L179" s="16" t="n">
        <v>46493</v>
      </c>
      <c r="M179" s="16" t="n">
        <v>46500</v>
      </c>
      <c r="N179" s="17"/>
      <c r="O179" s="16" t="n">
        <f aca="false">IF(N179&lt;&gt;"",N179,M179)</f>
        <v>46500</v>
      </c>
      <c r="P179" s="18" t="s">
        <v>31</v>
      </c>
      <c r="Q179" s="19" t="s">
        <v>625</v>
      </c>
      <c r="R179" s="19"/>
      <c r="S179" s="14" t="str">
        <f aca="true">IF(AND(O179&lt;TODAY(),P179&lt;&gt;"Approved",P179&lt;&gt;"Live",P179&lt;&gt;"Not applicable"),"Overdue","")</f>
        <v/>
      </c>
      <c r="T179" s="14" t="str">
        <f aca="true">IF(S179="Overdue",TODAY()-O179,"")</f>
        <v/>
      </c>
    </row>
    <row r="180" customFormat="false" ht="23.85" hidden="false" customHeight="false" outlineLevel="0" collapsed="false">
      <c r="A180" s="14" t="s">
        <v>626</v>
      </c>
      <c r="B180" s="15" t="s">
        <v>627</v>
      </c>
      <c r="C180" s="14" t="s">
        <v>56</v>
      </c>
      <c r="D180" s="14" t="s">
        <v>232</v>
      </c>
      <c r="E180" s="14" t="s">
        <v>82</v>
      </c>
      <c r="F180" s="15" t="s">
        <v>49</v>
      </c>
      <c r="G180" s="14" t="s">
        <v>41</v>
      </c>
      <c r="H180" s="16" t="n">
        <v>46433</v>
      </c>
      <c r="I180" s="16" t="n">
        <v>46444</v>
      </c>
      <c r="J180" s="16" t="n">
        <v>46465</v>
      </c>
      <c r="K180" s="16" t="n">
        <v>46479</v>
      </c>
      <c r="L180" s="16" t="n">
        <v>46493</v>
      </c>
      <c r="M180" s="16" t="n">
        <v>46500</v>
      </c>
      <c r="N180" s="17"/>
      <c r="O180" s="16" t="n">
        <f aca="false">IF(N180&lt;&gt;"",N180,M180)</f>
        <v>46500</v>
      </c>
      <c r="P180" s="18" t="s">
        <v>31</v>
      </c>
      <c r="Q180" s="19" t="s">
        <v>628</v>
      </c>
      <c r="R180" s="19"/>
      <c r="S180" s="14" t="str">
        <f aca="true">IF(AND(O180&lt;TODAY(),P180&lt;&gt;"Approved",P180&lt;&gt;"Live",P180&lt;&gt;"Not applicable"),"Overdue","")</f>
        <v/>
      </c>
      <c r="T180" s="14" t="str">
        <f aca="true">IF(S180="Overdue",TODAY()-O180,"")</f>
        <v/>
      </c>
    </row>
    <row r="181" customFormat="false" ht="23.85" hidden="false" customHeight="false" outlineLevel="0" collapsed="false">
      <c r="A181" s="14" t="s">
        <v>629</v>
      </c>
      <c r="B181" s="15" t="s">
        <v>630</v>
      </c>
      <c r="C181" s="14" t="s">
        <v>56</v>
      </c>
      <c r="D181" s="14" t="s">
        <v>232</v>
      </c>
      <c r="E181" s="14" t="s">
        <v>102</v>
      </c>
      <c r="F181" s="15" t="s">
        <v>49</v>
      </c>
      <c r="G181" s="14" t="s">
        <v>41</v>
      </c>
      <c r="H181" s="16" t="n">
        <v>46433</v>
      </c>
      <c r="I181" s="16" t="n">
        <v>46444</v>
      </c>
      <c r="J181" s="16" t="n">
        <v>46465</v>
      </c>
      <c r="K181" s="16" t="n">
        <v>46479</v>
      </c>
      <c r="L181" s="16" t="n">
        <v>46493</v>
      </c>
      <c r="M181" s="16" t="n">
        <v>46500</v>
      </c>
      <c r="N181" s="17"/>
      <c r="O181" s="16" t="n">
        <f aca="false">IF(N181&lt;&gt;"",N181,M181)</f>
        <v>46500</v>
      </c>
      <c r="P181" s="18" t="s">
        <v>31</v>
      </c>
      <c r="Q181" s="19" t="s">
        <v>631</v>
      </c>
      <c r="R181" s="19"/>
      <c r="S181" s="14" t="str">
        <f aca="true">IF(AND(O181&lt;TODAY(),P181&lt;&gt;"Approved",P181&lt;&gt;"Live",P181&lt;&gt;"Not applicable"),"Overdue","")</f>
        <v/>
      </c>
      <c r="T181" s="14" t="str">
        <f aca="true">IF(S181="Overdue",TODAY()-O181,"")</f>
        <v/>
      </c>
    </row>
    <row r="182" customFormat="false" ht="23.85" hidden="false" customHeight="false" outlineLevel="0" collapsed="false">
      <c r="A182" s="14" t="s">
        <v>632</v>
      </c>
      <c r="B182" s="15" t="s">
        <v>633</v>
      </c>
      <c r="C182" s="14" t="s">
        <v>57</v>
      </c>
      <c r="D182" s="14" t="s">
        <v>232</v>
      </c>
      <c r="E182" s="14" t="s">
        <v>82</v>
      </c>
      <c r="F182" s="15" t="s">
        <v>49</v>
      </c>
      <c r="G182" s="14" t="s">
        <v>41</v>
      </c>
      <c r="H182" s="16" t="n">
        <v>46433</v>
      </c>
      <c r="I182" s="16" t="n">
        <v>46444</v>
      </c>
      <c r="J182" s="16" t="n">
        <v>46465</v>
      </c>
      <c r="K182" s="16" t="n">
        <v>46479</v>
      </c>
      <c r="L182" s="16" t="n">
        <v>46493</v>
      </c>
      <c r="M182" s="16" t="n">
        <v>46500</v>
      </c>
      <c r="N182" s="17"/>
      <c r="O182" s="16" t="n">
        <f aca="false">IF(N182&lt;&gt;"",N182,M182)</f>
        <v>46500</v>
      </c>
      <c r="P182" s="18" t="s">
        <v>31</v>
      </c>
      <c r="Q182" s="19" t="s">
        <v>634</v>
      </c>
      <c r="R182" s="19"/>
      <c r="S182" s="14" t="str">
        <f aca="true">IF(AND(O182&lt;TODAY(),P182&lt;&gt;"Approved",P182&lt;&gt;"Live",P182&lt;&gt;"Not applicable"),"Overdue","")</f>
        <v/>
      </c>
      <c r="T182" s="14" t="str">
        <f aca="true">IF(S182="Overdue",TODAY()-O182,"")</f>
        <v/>
      </c>
    </row>
    <row r="183" customFormat="false" ht="23.85" hidden="false" customHeight="false" outlineLevel="0" collapsed="false">
      <c r="A183" s="14" t="s">
        <v>635</v>
      </c>
      <c r="B183" s="15" t="s">
        <v>636</v>
      </c>
      <c r="C183" s="14" t="s">
        <v>62</v>
      </c>
      <c r="D183" s="14" t="s">
        <v>275</v>
      </c>
      <c r="E183" s="14" t="s">
        <v>82</v>
      </c>
      <c r="F183" s="15" t="s">
        <v>50</v>
      </c>
      <c r="G183" s="14" t="s">
        <v>41</v>
      </c>
      <c r="H183" s="16" t="n">
        <v>46433</v>
      </c>
      <c r="I183" s="16" t="n">
        <v>46444</v>
      </c>
      <c r="J183" s="16" t="n">
        <v>46465</v>
      </c>
      <c r="K183" s="16" t="n">
        <v>46479</v>
      </c>
      <c r="L183" s="16" t="n">
        <v>46493</v>
      </c>
      <c r="M183" s="16" t="n">
        <v>46500</v>
      </c>
      <c r="N183" s="17"/>
      <c r="O183" s="16" t="n">
        <f aca="false">IF(N183&lt;&gt;"",N183,M183)</f>
        <v>46500</v>
      </c>
      <c r="P183" s="18" t="s">
        <v>31</v>
      </c>
      <c r="Q183" s="19" t="s">
        <v>637</v>
      </c>
      <c r="R183" s="19"/>
      <c r="S183" s="14" t="str">
        <f aca="true">IF(AND(O183&lt;TODAY(),P183&lt;&gt;"Approved",P183&lt;&gt;"Live",P183&lt;&gt;"Not applicable"),"Overdue","")</f>
        <v/>
      </c>
      <c r="T183" s="14" t="str">
        <f aca="true">IF(S183="Overdue",TODAY()-O183,"")</f>
        <v/>
      </c>
    </row>
    <row r="184" customFormat="false" ht="15" hidden="false" customHeight="false" outlineLevel="0" collapsed="false">
      <c r="A184" s="14" t="s">
        <v>638</v>
      </c>
      <c r="B184" s="15" t="s">
        <v>639</v>
      </c>
      <c r="C184" s="14" t="s">
        <v>62</v>
      </c>
      <c r="D184" s="14" t="s">
        <v>275</v>
      </c>
      <c r="E184" s="14" t="s">
        <v>82</v>
      </c>
      <c r="F184" s="15" t="s">
        <v>50</v>
      </c>
      <c r="G184" s="14" t="s">
        <v>41</v>
      </c>
      <c r="H184" s="16" t="n">
        <v>46433</v>
      </c>
      <c r="I184" s="16" t="n">
        <v>46444</v>
      </c>
      <c r="J184" s="16" t="n">
        <v>46465</v>
      </c>
      <c r="K184" s="16" t="n">
        <v>46479</v>
      </c>
      <c r="L184" s="16" t="n">
        <v>46493</v>
      </c>
      <c r="M184" s="16" t="n">
        <v>46500</v>
      </c>
      <c r="N184" s="17"/>
      <c r="O184" s="16" t="n">
        <f aca="false">IF(N184&lt;&gt;"",N184,M184)</f>
        <v>46500</v>
      </c>
      <c r="P184" s="18" t="s">
        <v>31</v>
      </c>
      <c r="Q184" s="19" t="s">
        <v>640</v>
      </c>
      <c r="R184" s="19"/>
      <c r="S184" s="14" t="str">
        <f aca="true">IF(AND(O184&lt;TODAY(),P184&lt;&gt;"Approved",P184&lt;&gt;"Live",P184&lt;&gt;"Not applicable"),"Overdue","")</f>
        <v/>
      </c>
      <c r="T184" s="14" t="str">
        <f aca="true">IF(S184="Overdue",TODAY()-O184,"")</f>
        <v/>
      </c>
    </row>
    <row r="185" customFormat="false" ht="15" hidden="false" customHeight="false" outlineLevel="0" collapsed="false">
      <c r="A185" s="14" t="s">
        <v>641</v>
      </c>
      <c r="B185" s="15" t="s">
        <v>642</v>
      </c>
      <c r="C185" s="14" t="s">
        <v>62</v>
      </c>
      <c r="D185" s="14" t="s">
        <v>275</v>
      </c>
      <c r="E185" s="14" t="s">
        <v>116</v>
      </c>
      <c r="F185" s="15" t="s">
        <v>50</v>
      </c>
      <c r="G185" s="14" t="s">
        <v>41</v>
      </c>
      <c r="H185" s="16" t="n">
        <v>46433</v>
      </c>
      <c r="I185" s="16" t="n">
        <v>46444</v>
      </c>
      <c r="J185" s="16" t="n">
        <v>46465</v>
      </c>
      <c r="K185" s="16" t="n">
        <v>46479</v>
      </c>
      <c r="L185" s="16" t="n">
        <v>46493</v>
      </c>
      <c r="M185" s="16" t="n">
        <v>46500</v>
      </c>
      <c r="N185" s="17"/>
      <c r="O185" s="16" t="n">
        <f aca="false">IF(N185&lt;&gt;"",N185,M185)</f>
        <v>46500</v>
      </c>
      <c r="P185" s="18" t="s">
        <v>31</v>
      </c>
      <c r="Q185" s="19" t="s">
        <v>643</v>
      </c>
      <c r="R185" s="19"/>
      <c r="S185" s="14" t="str">
        <f aca="true">IF(AND(O185&lt;TODAY(),P185&lt;&gt;"Approved",P185&lt;&gt;"Live",P185&lt;&gt;"Not applicable"),"Overdue","")</f>
        <v/>
      </c>
      <c r="T185" s="14" t="str">
        <f aca="true">IF(S185="Overdue",TODAY()-O185,"")</f>
        <v/>
      </c>
    </row>
    <row r="186" customFormat="false" ht="23.85" hidden="false" customHeight="false" outlineLevel="0" collapsed="false">
      <c r="A186" s="14" t="s">
        <v>644</v>
      </c>
      <c r="B186" s="15" t="s">
        <v>645</v>
      </c>
      <c r="C186" s="14" t="s">
        <v>59</v>
      </c>
      <c r="D186" s="14" t="s">
        <v>101</v>
      </c>
      <c r="E186" s="14" t="s">
        <v>102</v>
      </c>
      <c r="F186" s="15" t="s">
        <v>46</v>
      </c>
      <c r="G186" s="14" t="s">
        <v>41</v>
      </c>
      <c r="H186" s="16" t="n">
        <v>46433</v>
      </c>
      <c r="I186" s="16" t="n">
        <v>46444</v>
      </c>
      <c r="J186" s="16" t="n">
        <v>46465</v>
      </c>
      <c r="K186" s="16" t="n">
        <v>46479</v>
      </c>
      <c r="L186" s="16" t="n">
        <v>46493</v>
      </c>
      <c r="M186" s="16" t="n">
        <v>46500</v>
      </c>
      <c r="N186" s="17"/>
      <c r="O186" s="16" t="n">
        <f aca="false">IF(N186&lt;&gt;"",N186,M186)</f>
        <v>46500</v>
      </c>
      <c r="P186" s="18" t="s">
        <v>31</v>
      </c>
      <c r="Q186" s="19" t="s">
        <v>646</v>
      </c>
      <c r="R186" s="19"/>
      <c r="S186" s="14" t="str">
        <f aca="true">IF(AND(O186&lt;TODAY(),P186&lt;&gt;"Approved",P186&lt;&gt;"Live",P186&lt;&gt;"Not applicable"),"Overdue","")</f>
        <v/>
      </c>
      <c r="T186" s="14" t="str">
        <f aca="true">IF(S186="Overdue",TODAY()-O186,"")</f>
        <v/>
      </c>
    </row>
    <row r="187" customFormat="false" ht="23.85" hidden="false" customHeight="false" outlineLevel="0" collapsed="false">
      <c r="A187" s="14" t="s">
        <v>647</v>
      </c>
      <c r="B187" s="15" t="s">
        <v>648</v>
      </c>
      <c r="C187" s="14" t="s">
        <v>59</v>
      </c>
      <c r="D187" s="14" t="s">
        <v>101</v>
      </c>
      <c r="E187" s="14" t="s">
        <v>102</v>
      </c>
      <c r="F187" s="15" t="s">
        <v>46</v>
      </c>
      <c r="G187" s="14" t="s">
        <v>41</v>
      </c>
      <c r="H187" s="16" t="n">
        <v>46433</v>
      </c>
      <c r="I187" s="16" t="n">
        <v>46444</v>
      </c>
      <c r="J187" s="16" t="n">
        <v>46465</v>
      </c>
      <c r="K187" s="16" t="n">
        <v>46479</v>
      </c>
      <c r="L187" s="16" t="n">
        <v>46493</v>
      </c>
      <c r="M187" s="16" t="n">
        <v>46500</v>
      </c>
      <c r="N187" s="17"/>
      <c r="O187" s="16" t="n">
        <f aca="false">IF(N187&lt;&gt;"",N187,M187)</f>
        <v>46500</v>
      </c>
      <c r="P187" s="18" t="s">
        <v>31</v>
      </c>
      <c r="Q187" s="19" t="s">
        <v>649</v>
      </c>
      <c r="R187" s="19"/>
      <c r="S187" s="14" t="str">
        <f aca="true">IF(AND(O187&lt;TODAY(),P187&lt;&gt;"Approved",P187&lt;&gt;"Live",P187&lt;&gt;"Not applicable"),"Overdue","")</f>
        <v/>
      </c>
      <c r="T187" s="14" t="str">
        <f aca="true">IF(S187="Overdue",TODAY()-O187,"")</f>
        <v/>
      </c>
    </row>
    <row r="188" customFormat="false" ht="23.85" hidden="false" customHeight="false" outlineLevel="0" collapsed="false">
      <c r="A188" s="14" t="s">
        <v>650</v>
      </c>
      <c r="B188" s="15" t="s">
        <v>651</v>
      </c>
      <c r="C188" s="14" t="s">
        <v>56</v>
      </c>
      <c r="D188" s="14" t="s">
        <v>186</v>
      </c>
      <c r="E188" s="14" t="s">
        <v>102</v>
      </c>
      <c r="F188" s="15" t="s">
        <v>51</v>
      </c>
      <c r="G188" s="14" t="s">
        <v>41</v>
      </c>
      <c r="H188" s="16" t="n">
        <v>46433</v>
      </c>
      <c r="I188" s="16" t="n">
        <v>46444</v>
      </c>
      <c r="J188" s="16" t="n">
        <v>46465</v>
      </c>
      <c r="K188" s="16" t="n">
        <v>46479</v>
      </c>
      <c r="L188" s="16" t="n">
        <v>46493</v>
      </c>
      <c r="M188" s="16" t="n">
        <v>46500</v>
      </c>
      <c r="N188" s="17"/>
      <c r="O188" s="16" t="n">
        <f aca="false">IF(N188&lt;&gt;"",N188,M188)</f>
        <v>46500</v>
      </c>
      <c r="P188" s="18" t="s">
        <v>31</v>
      </c>
      <c r="Q188" s="19" t="s">
        <v>652</v>
      </c>
      <c r="R188" s="19"/>
      <c r="S188" s="14" t="str">
        <f aca="true">IF(AND(O188&lt;TODAY(),P188&lt;&gt;"Approved",P188&lt;&gt;"Live",P188&lt;&gt;"Not applicable"),"Overdue","")</f>
        <v/>
      </c>
      <c r="T188" s="14" t="str">
        <f aca="true">IF(S188="Overdue",TODAY()-O188,"")</f>
        <v/>
      </c>
    </row>
    <row r="189" customFormat="false" ht="23.85" hidden="false" customHeight="false" outlineLevel="0" collapsed="false">
      <c r="A189" s="14" t="s">
        <v>653</v>
      </c>
      <c r="B189" s="15" t="s">
        <v>654</v>
      </c>
      <c r="C189" s="14" t="s">
        <v>56</v>
      </c>
      <c r="D189" s="14" t="s">
        <v>190</v>
      </c>
      <c r="E189" s="14" t="s">
        <v>102</v>
      </c>
      <c r="F189" s="15" t="s">
        <v>48</v>
      </c>
      <c r="G189" s="14" t="s">
        <v>41</v>
      </c>
      <c r="H189" s="16" t="n">
        <v>46433</v>
      </c>
      <c r="I189" s="16" t="n">
        <v>46444</v>
      </c>
      <c r="J189" s="16" t="n">
        <v>46465</v>
      </c>
      <c r="K189" s="16" t="n">
        <v>46479</v>
      </c>
      <c r="L189" s="16" t="n">
        <v>46493</v>
      </c>
      <c r="M189" s="16" t="n">
        <v>46500</v>
      </c>
      <c r="N189" s="17"/>
      <c r="O189" s="16" t="n">
        <f aca="false">IF(N189&lt;&gt;"",N189,M189)</f>
        <v>46500</v>
      </c>
      <c r="P189" s="18" t="s">
        <v>31</v>
      </c>
      <c r="Q189" s="19" t="s">
        <v>655</v>
      </c>
      <c r="R189" s="19"/>
      <c r="S189" s="14" t="str">
        <f aca="true">IF(AND(O189&lt;TODAY(),P189&lt;&gt;"Approved",P189&lt;&gt;"Live",P189&lt;&gt;"Not applicable"),"Overdue","")</f>
        <v/>
      </c>
      <c r="T189" s="14" t="str">
        <f aca="true">IF(S189="Overdue",TODAY()-O189,"")</f>
        <v/>
      </c>
    </row>
    <row r="190" customFormat="false" ht="15" hidden="false" customHeight="false" outlineLevel="0" collapsed="false">
      <c r="A190" s="14" t="s">
        <v>656</v>
      </c>
      <c r="B190" s="15" t="s">
        <v>657</v>
      </c>
      <c r="C190" s="14" t="s">
        <v>56</v>
      </c>
      <c r="D190" s="14" t="s">
        <v>190</v>
      </c>
      <c r="E190" s="14" t="s">
        <v>102</v>
      </c>
      <c r="F190" s="15" t="s">
        <v>48</v>
      </c>
      <c r="G190" s="14" t="s">
        <v>41</v>
      </c>
      <c r="H190" s="16" t="n">
        <v>46433</v>
      </c>
      <c r="I190" s="16" t="n">
        <v>46444</v>
      </c>
      <c r="J190" s="16" t="n">
        <v>46465</v>
      </c>
      <c r="K190" s="16" t="n">
        <v>46479</v>
      </c>
      <c r="L190" s="16" t="n">
        <v>46493</v>
      </c>
      <c r="M190" s="16" t="n">
        <v>46500</v>
      </c>
      <c r="N190" s="17"/>
      <c r="O190" s="16" t="n">
        <f aca="false">IF(N190&lt;&gt;"",N190,M190)</f>
        <v>46500</v>
      </c>
      <c r="P190" s="18" t="s">
        <v>31</v>
      </c>
      <c r="Q190" s="19" t="s">
        <v>307</v>
      </c>
      <c r="R190" s="19"/>
      <c r="S190" s="14" t="str">
        <f aca="true">IF(AND(O190&lt;TODAY(),P190&lt;&gt;"Approved",P190&lt;&gt;"Live",P190&lt;&gt;"Not applicable"),"Overdue","")</f>
        <v/>
      </c>
      <c r="T190" s="14" t="str">
        <f aca="true">IF(S190="Overdue",TODAY()-O190,"")</f>
        <v/>
      </c>
    </row>
    <row r="191" customFormat="false" ht="23.85" hidden="false" customHeight="false" outlineLevel="0" collapsed="false">
      <c r="A191" s="14" t="s">
        <v>658</v>
      </c>
      <c r="B191" s="15" t="s">
        <v>659</v>
      </c>
      <c r="C191" s="14" t="s">
        <v>56</v>
      </c>
      <c r="D191" s="14" t="s">
        <v>190</v>
      </c>
      <c r="E191" s="14" t="s">
        <v>102</v>
      </c>
      <c r="F191" s="15" t="s">
        <v>48</v>
      </c>
      <c r="G191" s="14" t="s">
        <v>41</v>
      </c>
      <c r="H191" s="16" t="n">
        <v>46433</v>
      </c>
      <c r="I191" s="16" t="n">
        <v>46444</v>
      </c>
      <c r="J191" s="16" t="n">
        <v>46465</v>
      </c>
      <c r="K191" s="16" t="n">
        <v>46479</v>
      </c>
      <c r="L191" s="16" t="n">
        <v>46493</v>
      </c>
      <c r="M191" s="16" t="n">
        <v>46500</v>
      </c>
      <c r="N191" s="17"/>
      <c r="O191" s="16" t="n">
        <f aca="false">IF(N191&lt;&gt;"",N191,M191)</f>
        <v>46500</v>
      </c>
      <c r="P191" s="18" t="s">
        <v>31</v>
      </c>
      <c r="Q191" s="19" t="s">
        <v>660</v>
      </c>
      <c r="R191" s="19"/>
      <c r="S191" s="14" t="str">
        <f aca="true">IF(AND(O191&lt;TODAY(),P191&lt;&gt;"Approved",P191&lt;&gt;"Live",P191&lt;&gt;"Not applicable"),"Overdue","")</f>
        <v/>
      </c>
      <c r="T191" s="14" t="str">
        <f aca="true">IF(S191="Overdue",TODAY()-O191,"")</f>
        <v/>
      </c>
    </row>
    <row r="192" customFormat="false" ht="23.85" hidden="false" customHeight="false" outlineLevel="0" collapsed="false">
      <c r="A192" s="14" t="s">
        <v>661</v>
      </c>
      <c r="B192" s="15" t="s">
        <v>662</v>
      </c>
      <c r="C192" s="14" t="s">
        <v>57</v>
      </c>
      <c r="D192" s="14" t="s">
        <v>190</v>
      </c>
      <c r="E192" s="14" t="s">
        <v>102</v>
      </c>
      <c r="F192" s="15" t="s">
        <v>48</v>
      </c>
      <c r="G192" s="14" t="s">
        <v>41</v>
      </c>
      <c r="H192" s="16" t="n">
        <v>46433</v>
      </c>
      <c r="I192" s="16" t="n">
        <v>46444</v>
      </c>
      <c r="J192" s="16" t="n">
        <v>46465</v>
      </c>
      <c r="K192" s="16" t="n">
        <v>46479</v>
      </c>
      <c r="L192" s="16" t="n">
        <v>46493</v>
      </c>
      <c r="M192" s="16" t="n">
        <v>46500</v>
      </c>
      <c r="N192" s="17"/>
      <c r="O192" s="16" t="n">
        <f aca="false">IF(N192&lt;&gt;"",N192,M192)</f>
        <v>46500</v>
      </c>
      <c r="P192" s="18" t="s">
        <v>31</v>
      </c>
      <c r="Q192" s="19" t="s">
        <v>316</v>
      </c>
      <c r="R192" s="19"/>
      <c r="S192" s="14" t="str">
        <f aca="true">IF(AND(O192&lt;TODAY(),P192&lt;&gt;"Approved",P192&lt;&gt;"Live",P192&lt;&gt;"Not applicable"),"Overdue","")</f>
        <v/>
      </c>
      <c r="T192" s="14" t="str">
        <f aca="true">IF(S192="Overdue",TODAY()-O192,"")</f>
        <v/>
      </c>
    </row>
    <row r="193" customFormat="false" ht="23.85" hidden="false" customHeight="false" outlineLevel="0" collapsed="false">
      <c r="A193" s="14" t="s">
        <v>663</v>
      </c>
      <c r="B193" s="15" t="s">
        <v>664</v>
      </c>
      <c r="C193" s="14" t="s">
        <v>59</v>
      </c>
      <c r="D193" s="14" t="s">
        <v>101</v>
      </c>
      <c r="E193" s="14" t="s">
        <v>102</v>
      </c>
      <c r="F193" s="15" t="s">
        <v>46</v>
      </c>
      <c r="G193" s="14" t="s">
        <v>41</v>
      </c>
      <c r="H193" s="16" t="n">
        <v>46433</v>
      </c>
      <c r="I193" s="16" t="n">
        <v>46444</v>
      </c>
      <c r="J193" s="16" t="n">
        <v>46465</v>
      </c>
      <c r="K193" s="16" t="n">
        <v>46479</v>
      </c>
      <c r="L193" s="16" t="n">
        <v>46493</v>
      </c>
      <c r="M193" s="16" t="n">
        <v>46500</v>
      </c>
      <c r="N193" s="17"/>
      <c r="O193" s="16" t="n">
        <f aca="false">IF(N193&lt;&gt;"",N193,M193)</f>
        <v>46500</v>
      </c>
      <c r="P193" s="18" t="s">
        <v>31</v>
      </c>
      <c r="Q193" s="19" t="s">
        <v>665</v>
      </c>
      <c r="R193" s="19"/>
      <c r="S193" s="14" t="str">
        <f aca="true">IF(AND(O193&lt;TODAY(),P193&lt;&gt;"Approved",P193&lt;&gt;"Live",P193&lt;&gt;"Not applicable"),"Overdue","")</f>
        <v/>
      </c>
      <c r="T193" s="14" t="str">
        <f aca="true">IF(S193="Overdue",TODAY()-O193,"")</f>
        <v/>
      </c>
    </row>
    <row r="194" customFormat="false" ht="15" hidden="false" customHeight="false" outlineLevel="0" collapsed="false">
      <c r="A194" s="14" t="s">
        <v>666</v>
      </c>
      <c r="B194" s="15" t="s">
        <v>667</v>
      </c>
      <c r="C194" s="14" t="s">
        <v>59</v>
      </c>
      <c r="D194" s="14" t="s">
        <v>170</v>
      </c>
      <c r="E194" s="14" t="s">
        <v>102</v>
      </c>
      <c r="F194" s="15" t="s">
        <v>51</v>
      </c>
      <c r="G194" s="14" t="s">
        <v>41</v>
      </c>
      <c r="H194" s="16" t="n">
        <v>46433</v>
      </c>
      <c r="I194" s="16" t="n">
        <v>46444</v>
      </c>
      <c r="J194" s="16" t="n">
        <v>46465</v>
      </c>
      <c r="K194" s="16" t="n">
        <v>46479</v>
      </c>
      <c r="L194" s="16" t="n">
        <v>46493</v>
      </c>
      <c r="M194" s="16" t="n">
        <v>46500</v>
      </c>
      <c r="N194" s="17"/>
      <c r="O194" s="16" t="n">
        <f aca="false">IF(N194&lt;&gt;"",N194,M194)</f>
        <v>46500</v>
      </c>
      <c r="P194" s="18" t="s">
        <v>31</v>
      </c>
      <c r="Q194" s="19" t="s">
        <v>668</v>
      </c>
      <c r="R194" s="19"/>
      <c r="S194" s="14" t="str">
        <f aca="true">IF(AND(O194&lt;TODAY(),P194&lt;&gt;"Approved",P194&lt;&gt;"Live",P194&lt;&gt;"Not applicable"),"Overdue","")</f>
        <v/>
      </c>
      <c r="T194" s="14" t="str">
        <f aca="true">IF(S194="Overdue",TODAY()-O194,"")</f>
        <v/>
      </c>
    </row>
    <row r="195" customFormat="false" ht="23.85" hidden="false" customHeight="false" outlineLevel="0" collapsed="false">
      <c r="A195" s="14" t="s">
        <v>669</v>
      </c>
      <c r="B195" s="15" t="s">
        <v>670</v>
      </c>
      <c r="C195" s="14" t="s">
        <v>59</v>
      </c>
      <c r="D195" s="14" t="s">
        <v>101</v>
      </c>
      <c r="E195" s="14" t="s">
        <v>102</v>
      </c>
      <c r="F195" s="15" t="s">
        <v>46</v>
      </c>
      <c r="G195" s="14" t="s">
        <v>41</v>
      </c>
      <c r="H195" s="16" t="n">
        <v>46433</v>
      </c>
      <c r="I195" s="16" t="n">
        <v>46444</v>
      </c>
      <c r="J195" s="16" t="n">
        <v>46465</v>
      </c>
      <c r="K195" s="16" t="n">
        <v>46479</v>
      </c>
      <c r="L195" s="16" t="n">
        <v>46493</v>
      </c>
      <c r="M195" s="16" t="n">
        <v>46500</v>
      </c>
      <c r="N195" s="17"/>
      <c r="O195" s="16" t="n">
        <f aca="false">IF(N195&lt;&gt;"",N195,M195)</f>
        <v>46500</v>
      </c>
      <c r="P195" s="18" t="s">
        <v>31</v>
      </c>
      <c r="Q195" s="19" t="s">
        <v>671</v>
      </c>
      <c r="R195" s="19"/>
      <c r="S195" s="14" t="str">
        <f aca="true">IF(AND(O195&lt;TODAY(),P195&lt;&gt;"Approved",P195&lt;&gt;"Live",P195&lt;&gt;"Not applicable"),"Overdue","")</f>
        <v/>
      </c>
      <c r="T195" s="14" t="str">
        <f aca="true">IF(S195="Overdue",TODAY()-O195,"")</f>
        <v/>
      </c>
    </row>
    <row r="196" customFormat="false" ht="23.85" hidden="false" customHeight="false" outlineLevel="0" collapsed="false">
      <c r="A196" s="14" t="s">
        <v>672</v>
      </c>
      <c r="B196" s="15" t="s">
        <v>673</v>
      </c>
      <c r="C196" s="14" t="s">
        <v>59</v>
      </c>
      <c r="D196" s="14" t="s">
        <v>170</v>
      </c>
      <c r="E196" s="14" t="s">
        <v>102</v>
      </c>
      <c r="F196" s="15" t="s">
        <v>51</v>
      </c>
      <c r="G196" s="14" t="s">
        <v>41</v>
      </c>
      <c r="H196" s="16" t="n">
        <v>46433</v>
      </c>
      <c r="I196" s="16" t="n">
        <v>46444</v>
      </c>
      <c r="J196" s="16" t="n">
        <v>46465</v>
      </c>
      <c r="K196" s="16" t="n">
        <v>46479</v>
      </c>
      <c r="L196" s="16" t="n">
        <v>46493</v>
      </c>
      <c r="M196" s="16" t="n">
        <v>46500</v>
      </c>
      <c r="N196" s="17"/>
      <c r="O196" s="16" t="n">
        <f aca="false">IF(N196&lt;&gt;"",N196,M196)</f>
        <v>46500</v>
      </c>
      <c r="P196" s="18" t="s">
        <v>31</v>
      </c>
      <c r="Q196" s="19" t="s">
        <v>674</v>
      </c>
      <c r="R196" s="19"/>
      <c r="S196" s="14" t="str">
        <f aca="true">IF(AND(O196&lt;TODAY(),P196&lt;&gt;"Approved",P196&lt;&gt;"Live",P196&lt;&gt;"Not applicable"),"Overdue","")</f>
        <v/>
      </c>
      <c r="T196" s="14" t="str">
        <f aca="true">IF(S196="Overdue",TODAY()-O196,"")</f>
        <v/>
      </c>
    </row>
    <row r="197" customFormat="false" ht="23.85" hidden="false" customHeight="false" outlineLevel="0" collapsed="false">
      <c r="A197" s="14" t="s">
        <v>675</v>
      </c>
      <c r="B197" s="15" t="s">
        <v>676</v>
      </c>
      <c r="C197" s="14" t="s">
        <v>59</v>
      </c>
      <c r="D197" s="14" t="s">
        <v>81</v>
      </c>
      <c r="E197" s="14" t="s">
        <v>102</v>
      </c>
      <c r="F197" s="15" t="s">
        <v>46</v>
      </c>
      <c r="G197" s="14" t="s">
        <v>41</v>
      </c>
      <c r="H197" s="16" t="n">
        <v>46433</v>
      </c>
      <c r="I197" s="16" t="n">
        <v>46444</v>
      </c>
      <c r="J197" s="16" t="n">
        <v>46465</v>
      </c>
      <c r="K197" s="16" t="n">
        <v>46479</v>
      </c>
      <c r="L197" s="16" t="n">
        <v>46493</v>
      </c>
      <c r="M197" s="16" t="n">
        <v>46500</v>
      </c>
      <c r="N197" s="17"/>
      <c r="O197" s="16" t="n">
        <f aca="false">IF(N197&lt;&gt;"",N197,M197)</f>
        <v>46500</v>
      </c>
      <c r="P197" s="18" t="s">
        <v>31</v>
      </c>
      <c r="Q197" s="19" t="s">
        <v>430</v>
      </c>
      <c r="R197" s="19"/>
      <c r="S197" s="14" t="str">
        <f aca="true">IF(AND(O197&lt;TODAY(),P197&lt;&gt;"Approved",P197&lt;&gt;"Live",P197&lt;&gt;"Not applicable"),"Overdue","")</f>
        <v/>
      </c>
      <c r="T197" s="14" t="str">
        <f aca="true">IF(S197="Overdue",TODAY()-O197,"")</f>
        <v/>
      </c>
    </row>
    <row r="198" customFormat="false" ht="15" hidden="false" customHeight="false" outlineLevel="0" collapsed="false">
      <c r="A198" s="14" t="s">
        <v>677</v>
      </c>
      <c r="B198" s="15" t="s">
        <v>678</v>
      </c>
      <c r="C198" s="14" t="s">
        <v>59</v>
      </c>
      <c r="D198" s="14" t="s">
        <v>186</v>
      </c>
      <c r="E198" s="14" t="s">
        <v>102</v>
      </c>
      <c r="F198" s="15" t="s">
        <v>51</v>
      </c>
      <c r="G198" s="14" t="s">
        <v>41</v>
      </c>
      <c r="H198" s="16" t="n">
        <v>46433</v>
      </c>
      <c r="I198" s="16" t="n">
        <v>46444</v>
      </c>
      <c r="J198" s="16" t="n">
        <v>46465</v>
      </c>
      <c r="K198" s="16" t="n">
        <v>46479</v>
      </c>
      <c r="L198" s="16" t="n">
        <v>46493</v>
      </c>
      <c r="M198" s="16" t="n">
        <v>46500</v>
      </c>
      <c r="N198" s="17"/>
      <c r="O198" s="16" t="n">
        <f aca="false">IF(N198&lt;&gt;"",N198,M198)</f>
        <v>46500</v>
      </c>
      <c r="P198" s="18" t="s">
        <v>31</v>
      </c>
      <c r="Q198" s="19" t="s">
        <v>679</v>
      </c>
      <c r="R198" s="19"/>
      <c r="S198" s="14" t="str">
        <f aca="true">IF(AND(O198&lt;TODAY(),P198&lt;&gt;"Approved",P198&lt;&gt;"Live",P198&lt;&gt;"Not applicable"),"Overdue","")</f>
        <v/>
      </c>
      <c r="T198" s="14" t="str">
        <f aca="true">IF(S198="Overdue",TODAY()-O198,"")</f>
        <v/>
      </c>
    </row>
    <row r="199" customFormat="false" ht="46.25" hidden="false" customHeight="false" outlineLevel="0" collapsed="false">
      <c r="A199" s="14" t="s">
        <v>680</v>
      </c>
      <c r="B199" s="15" t="s">
        <v>681</v>
      </c>
      <c r="C199" s="14" t="s">
        <v>55</v>
      </c>
      <c r="D199" s="14" t="s">
        <v>101</v>
      </c>
      <c r="E199" s="14" t="s">
        <v>102</v>
      </c>
      <c r="F199" s="15" t="s">
        <v>46</v>
      </c>
      <c r="G199" s="14" t="s">
        <v>41</v>
      </c>
      <c r="H199" s="16" t="n">
        <v>46440</v>
      </c>
      <c r="I199" s="16" t="n">
        <v>46451</v>
      </c>
      <c r="J199" s="16" t="n">
        <v>46472</v>
      </c>
      <c r="K199" s="16" t="n">
        <v>46486</v>
      </c>
      <c r="L199" s="16" t="n">
        <v>46500</v>
      </c>
      <c r="M199" s="16" t="n">
        <v>46507</v>
      </c>
      <c r="N199" s="17"/>
      <c r="O199" s="16" t="n">
        <f aca="false">IF(N199&lt;&gt;"",N199,M199)</f>
        <v>46507</v>
      </c>
      <c r="P199" s="18" t="s">
        <v>31</v>
      </c>
      <c r="Q199" s="19" t="s">
        <v>682</v>
      </c>
      <c r="R199" s="19"/>
      <c r="S199" s="14" t="str">
        <f aca="true">IF(AND(O199&lt;TODAY(),P199&lt;&gt;"Approved",P199&lt;&gt;"Live",P199&lt;&gt;"Not applicable"),"Overdue","")</f>
        <v/>
      </c>
      <c r="T199" s="14" t="str">
        <f aca="true">IF(S199="Overdue",TODAY()-O199,"")</f>
        <v/>
      </c>
    </row>
    <row r="200" customFormat="false" ht="23.85" hidden="false" customHeight="false" outlineLevel="0" collapsed="false">
      <c r="A200" s="14" t="s">
        <v>683</v>
      </c>
      <c r="B200" s="15" t="s">
        <v>684</v>
      </c>
      <c r="C200" s="14" t="s">
        <v>56</v>
      </c>
      <c r="D200" s="14" t="s">
        <v>109</v>
      </c>
      <c r="E200" s="14" t="s">
        <v>102</v>
      </c>
      <c r="F200" s="15" t="s">
        <v>47</v>
      </c>
      <c r="G200" s="14" t="s">
        <v>41</v>
      </c>
      <c r="H200" s="16" t="n">
        <v>46440</v>
      </c>
      <c r="I200" s="16" t="n">
        <v>46451</v>
      </c>
      <c r="J200" s="16" t="n">
        <v>46472</v>
      </c>
      <c r="K200" s="16" t="n">
        <v>46486</v>
      </c>
      <c r="L200" s="16" t="n">
        <v>46500</v>
      </c>
      <c r="M200" s="16" t="n">
        <v>46507</v>
      </c>
      <c r="N200" s="17"/>
      <c r="O200" s="16" t="n">
        <f aca="false">IF(N200&lt;&gt;"",N200,M200)</f>
        <v>46507</v>
      </c>
      <c r="P200" s="18" t="s">
        <v>31</v>
      </c>
      <c r="Q200" s="19" t="s">
        <v>685</v>
      </c>
      <c r="R200" s="19"/>
      <c r="S200" s="14" t="str">
        <f aca="true">IF(AND(O200&lt;TODAY(),P200&lt;&gt;"Approved",P200&lt;&gt;"Live",P200&lt;&gt;"Not applicable"),"Overdue","")</f>
        <v/>
      </c>
      <c r="T200" s="14" t="str">
        <f aca="true">IF(S200="Overdue",TODAY()-O200,"")</f>
        <v/>
      </c>
    </row>
    <row r="201" customFormat="false" ht="23.85" hidden="false" customHeight="false" outlineLevel="0" collapsed="false">
      <c r="A201" s="14" t="s">
        <v>686</v>
      </c>
      <c r="B201" s="15" t="s">
        <v>687</v>
      </c>
      <c r="C201" s="14" t="s">
        <v>57</v>
      </c>
      <c r="D201" s="14" t="s">
        <v>109</v>
      </c>
      <c r="E201" s="14" t="s">
        <v>82</v>
      </c>
      <c r="F201" s="15" t="s">
        <v>47</v>
      </c>
      <c r="G201" s="14" t="s">
        <v>41</v>
      </c>
      <c r="H201" s="16" t="n">
        <v>46440</v>
      </c>
      <c r="I201" s="16" t="n">
        <v>46451</v>
      </c>
      <c r="J201" s="16" t="n">
        <v>46472</v>
      </c>
      <c r="K201" s="16" t="n">
        <v>46486</v>
      </c>
      <c r="L201" s="16" t="n">
        <v>46500</v>
      </c>
      <c r="M201" s="16" t="n">
        <v>46507</v>
      </c>
      <c r="N201" s="17"/>
      <c r="O201" s="16" t="n">
        <f aca="false">IF(N201&lt;&gt;"",N201,M201)</f>
        <v>46507</v>
      </c>
      <c r="P201" s="18" t="s">
        <v>31</v>
      </c>
      <c r="Q201" s="19" t="s">
        <v>688</v>
      </c>
      <c r="R201" s="19"/>
      <c r="S201" s="14" t="str">
        <f aca="true">IF(AND(O201&lt;TODAY(),P201&lt;&gt;"Approved",P201&lt;&gt;"Live",P201&lt;&gt;"Not applicable"),"Overdue","")</f>
        <v/>
      </c>
      <c r="T201" s="14" t="str">
        <f aca="true">IF(S201="Overdue",TODAY()-O201,"")</f>
        <v/>
      </c>
    </row>
    <row r="202" customFormat="false" ht="15" hidden="false" customHeight="false" outlineLevel="0" collapsed="false">
      <c r="A202" s="14" t="s">
        <v>689</v>
      </c>
      <c r="B202" s="15" t="s">
        <v>690</v>
      </c>
      <c r="C202" s="14" t="s">
        <v>56</v>
      </c>
      <c r="D202" s="14" t="s">
        <v>109</v>
      </c>
      <c r="E202" s="14" t="s">
        <v>102</v>
      </c>
      <c r="F202" s="15" t="s">
        <v>47</v>
      </c>
      <c r="G202" s="14" t="s">
        <v>41</v>
      </c>
      <c r="H202" s="16" t="n">
        <v>46440</v>
      </c>
      <c r="I202" s="16" t="n">
        <v>46451</v>
      </c>
      <c r="J202" s="16" t="n">
        <v>46472</v>
      </c>
      <c r="K202" s="16" t="n">
        <v>46486</v>
      </c>
      <c r="L202" s="16" t="n">
        <v>46500</v>
      </c>
      <c r="M202" s="16" t="n">
        <v>46507</v>
      </c>
      <c r="N202" s="17"/>
      <c r="O202" s="16" t="n">
        <f aca="false">IF(N202&lt;&gt;"",N202,M202)</f>
        <v>46507</v>
      </c>
      <c r="P202" s="18" t="s">
        <v>31</v>
      </c>
      <c r="Q202" s="19" t="s">
        <v>691</v>
      </c>
      <c r="R202" s="19"/>
      <c r="S202" s="14" t="str">
        <f aca="true">IF(AND(O202&lt;TODAY(),P202&lt;&gt;"Approved",P202&lt;&gt;"Live",P202&lt;&gt;"Not applicable"),"Overdue","")</f>
        <v/>
      </c>
      <c r="T202" s="14" t="str">
        <f aca="true">IF(S202="Overdue",TODAY()-O202,"")</f>
        <v/>
      </c>
    </row>
    <row r="203" customFormat="false" ht="23.85" hidden="false" customHeight="false" outlineLevel="0" collapsed="false">
      <c r="A203" s="14" t="s">
        <v>692</v>
      </c>
      <c r="B203" s="15" t="s">
        <v>693</v>
      </c>
      <c r="C203" s="14" t="s">
        <v>56</v>
      </c>
      <c r="D203" s="14" t="s">
        <v>232</v>
      </c>
      <c r="E203" s="14" t="s">
        <v>102</v>
      </c>
      <c r="F203" s="15" t="s">
        <v>49</v>
      </c>
      <c r="G203" s="14" t="s">
        <v>41</v>
      </c>
      <c r="H203" s="16" t="n">
        <v>46440</v>
      </c>
      <c r="I203" s="16" t="n">
        <v>46451</v>
      </c>
      <c r="J203" s="16" t="n">
        <v>46472</v>
      </c>
      <c r="K203" s="16" t="n">
        <v>46486</v>
      </c>
      <c r="L203" s="16" t="n">
        <v>46500</v>
      </c>
      <c r="M203" s="16" t="n">
        <v>46507</v>
      </c>
      <c r="N203" s="17"/>
      <c r="O203" s="16" t="n">
        <f aca="false">IF(N203&lt;&gt;"",N203,M203)</f>
        <v>46507</v>
      </c>
      <c r="P203" s="18" t="s">
        <v>31</v>
      </c>
      <c r="Q203" s="19" t="s">
        <v>694</v>
      </c>
      <c r="R203" s="19"/>
      <c r="S203" s="14" t="str">
        <f aca="true">IF(AND(O203&lt;TODAY(),P203&lt;&gt;"Approved",P203&lt;&gt;"Live",P203&lt;&gt;"Not applicable"),"Overdue","")</f>
        <v/>
      </c>
      <c r="T203" s="14" t="str">
        <f aca="true">IF(S203="Overdue",TODAY()-O203,"")</f>
        <v/>
      </c>
    </row>
    <row r="204" customFormat="false" ht="23.85" hidden="false" customHeight="false" outlineLevel="0" collapsed="false">
      <c r="A204" s="14" t="s">
        <v>695</v>
      </c>
      <c r="B204" s="15" t="s">
        <v>696</v>
      </c>
      <c r="C204" s="14" t="s">
        <v>57</v>
      </c>
      <c r="D204" s="14" t="s">
        <v>232</v>
      </c>
      <c r="E204" s="14" t="s">
        <v>102</v>
      </c>
      <c r="F204" s="15" t="s">
        <v>49</v>
      </c>
      <c r="G204" s="14" t="s">
        <v>41</v>
      </c>
      <c r="H204" s="16" t="n">
        <v>46440</v>
      </c>
      <c r="I204" s="16" t="n">
        <v>46451</v>
      </c>
      <c r="J204" s="16" t="n">
        <v>46472</v>
      </c>
      <c r="K204" s="16" t="n">
        <v>46486</v>
      </c>
      <c r="L204" s="16" t="n">
        <v>46500</v>
      </c>
      <c r="M204" s="16" t="n">
        <v>46507</v>
      </c>
      <c r="N204" s="17"/>
      <c r="O204" s="16" t="n">
        <f aca="false">IF(N204&lt;&gt;"",N204,M204)</f>
        <v>46507</v>
      </c>
      <c r="P204" s="18" t="s">
        <v>31</v>
      </c>
      <c r="Q204" s="19" t="s">
        <v>697</v>
      </c>
      <c r="R204" s="19"/>
      <c r="S204" s="14" t="str">
        <f aca="true">IF(AND(O204&lt;TODAY(),P204&lt;&gt;"Approved",P204&lt;&gt;"Live",P204&lt;&gt;"Not applicable"),"Overdue","")</f>
        <v/>
      </c>
      <c r="T204" s="14" t="str">
        <f aca="true">IF(S204="Overdue",TODAY()-O204,"")</f>
        <v/>
      </c>
    </row>
    <row r="205" customFormat="false" ht="23.85" hidden="false" customHeight="false" outlineLevel="0" collapsed="false">
      <c r="A205" s="14" t="s">
        <v>698</v>
      </c>
      <c r="B205" s="15" t="s">
        <v>699</v>
      </c>
      <c r="C205" s="14" t="s">
        <v>56</v>
      </c>
      <c r="D205" s="14" t="s">
        <v>203</v>
      </c>
      <c r="E205" s="14" t="s">
        <v>102</v>
      </c>
      <c r="F205" s="15" t="s">
        <v>49</v>
      </c>
      <c r="G205" s="14" t="s">
        <v>41</v>
      </c>
      <c r="H205" s="16" t="n">
        <v>46440</v>
      </c>
      <c r="I205" s="16" t="n">
        <v>46451</v>
      </c>
      <c r="J205" s="16" t="n">
        <v>46472</v>
      </c>
      <c r="K205" s="16" t="n">
        <v>46486</v>
      </c>
      <c r="L205" s="16" t="n">
        <v>46500</v>
      </c>
      <c r="M205" s="16" t="n">
        <v>46507</v>
      </c>
      <c r="N205" s="17"/>
      <c r="O205" s="16" t="n">
        <f aca="false">IF(N205&lt;&gt;"",N205,M205)</f>
        <v>46507</v>
      </c>
      <c r="P205" s="18" t="s">
        <v>31</v>
      </c>
      <c r="Q205" s="19" t="s">
        <v>700</v>
      </c>
      <c r="R205" s="19"/>
      <c r="S205" s="14" t="str">
        <f aca="true">IF(AND(O205&lt;TODAY(),P205&lt;&gt;"Approved",P205&lt;&gt;"Live",P205&lt;&gt;"Not applicable"),"Overdue","")</f>
        <v/>
      </c>
      <c r="T205" s="14" t="str">
        <f aca="true">IF(S205="Overdue",TODAY()-O205,"")</f>
        <v/>
      </c>
    </row>
    <row r="206" customFormat="false" ht="15" hidden="false" customHeight="false" outlineLevel="0" collapsed="false">
      <c r="A206" s="14" t="s">
        <v>701</v>
      </c>
      <c r="B206" s="15" t="s">
        <v>702</v>
      </c>
      <c r="C206" s="14" t="s">
        <v>56</v>
      </c>
      <c r="D206" s="14" t="s">
        <v>203</v>
      </c>
      <c r="E206" s="14" t="s">
        <v>102</v>
      </c>
      <c r="F206" s="15" t="s">
        <v>49</v>
      </c>
      <c r="G206" s="14" t="s">
        <v>41</v>
      </c>
      <c r="H206" s="16" t="n">
        <v>46440</v>
      </c>
      <c r="I206" s="16" t="n">
        <v>46451</v>
      </c>
      <c r="J206" s="16" t="n">
        <v>46472</v>
      </c>
      <c r="K206" s="16" t="n">
        <v>46486</v>
      </c>
      <c r="L206" s="16" t="n">
        <v>46500</v>
      </c>
      <c r="M206" s="16" t="n">
        <v>46507</v>
      </c>
      <c r="N206" s="17"/>
      <c r="O206" s="16" t="n">
        <f aca="false">IF(N206&lt;&gt;"",N206,M206)</f>
        <v>46507</v>
      </c>
      <c r="P206" s="18" t="s">
        <v>31</v>
      </c>
      <c r="Q206" s="19" t="s">
        <v>703</v>
      </c>
      <c r="R206" s="19"/>
      <c r="S206" s="14" t="str">
        <f aca="true">IF(AND(O206&lt;TODAY(),P206&lt;&gt;"Approved",P206&lt;&gt;"Live",P206&lt;&gt;"Not applicable"),"Overdue","")</f>
        <v/>
      </c>
      <c r="T206" s="14" t="str">
        <f aca="true">IF(S206="Overdue",TODAY()-O206,"")</f>
        <v/>
      </c>
    </row>
    <row r="207" customFormat="false" ht="23.85" hidden="false" customHeight="false" outlineLevel="0" collapsed="false">
      <c r="A207" s="14" t="s">
        <v>704</v>
      </c>
      <c r="B207" s="15" t="s">
        <v>705</v>
      </c>
      <c r="C207" s="14" t="s">
        <v>56</v>
      </c>
      <c r="D207" s="14" t="s">
        <v>203</v>
      </c>
      <c r="E207" s="14" t="s">
        <v>102</v>
      </c>
      <c r="F207" s="15" t="s">
        <v>49</v>
      </c>
      <c r="G207" s="14" t="s">
        <v>41</v>
      </c>
      <c r="H207" s="16" t="n">
        <v>46440</v>
      </c>
      <c r="I207" s="16" t="n">
        <v>46451</v>
      </c>
      <c r="J207" s="16" t="n">
        <v>46472</v>
      </c>
      <c r="K207" s="16" t="n">
        <v>46486</v>
      </c>
      <c r="L207" s="16" t="n">
        <v>46500</v>
      </c>
      <c r="M207" s="16" t="n">
        <v>46507</v>
      </c>
      <c r="N207" s="17"/>
      <c r="O207" s="16" t="n">
        <f aca="false">IF(N207&lt;&gt;"",N207,M207)</f>
        <v>46507</v>
      </c>
      <c r="P207" s="18" t="s">
        <v>31</v>
      </c>
      <c r="Q207" s="19" t="s">
        <v>706</v>
      </c>
      <c r="R207" s="19"/>
      <c r="S207" s="14" t="str">
        <f aca="true">IF(AND(O207&lt;TODAY(),P207&lt;&gt;"Approved",P207&lt;&gt;"Live",P207&lt;&gt;"Not applicable"),"Overdue","")</f>
        <v/>
      </c>
      <c r="T207" s="14" t="str">
        <f aca="true">IF(S207="Overdue",TODAY()-O207,"")</f>
        <v/>
      </c>
    </row>
    <row r="208" customFormat="false" ht="15" hidden="false" customHeight="false" outlineLevel="0" collapsed="false">
      <c r="A208" s="14" t="s">
        <v>707</v>
      </c>
      <c r="B208" s="15" t="s">
        <v>708</v>
      </c>
      <c r="C208" s="14" t="s">
        <v>56</v>
      </c>
      <c r="D208" s="14" t="s">
        <v>203</v>
      </c>
      <c r="E208" s="14" t="s">
        <v>102</v>
      </c>
      <c r="F208" s="15" t="s">
        <v>49</v>
      </c>
      <c r="G208" s="14" t="s">
        <v>41</v>
      </c>
      <c r="H208" s="16" t="n">
        <v>46440</v>
      </c>
      <c r="I208" s="16" t="n">
        <v>46451</v>
      </c>
      <c r="J208" s="16" t="n">
        <v>46472</v>
      </c>
      <c r="K208" s="16" t="n">
        <v>46486</v>
      </c>
      <c r="L208" s="16" t="n">
        <v>46500</v>
      </c>
      <c r="M208" s="16" t="n">
        <v>46507</v>
      </c>
      <c r="N208" s="17"/>
      <c r="O208" s="16" t="n">
        <f aca="false">IF(N208&lt;&gt;"",N208,M208)</f>
        <v>46507</v>
      </c>
      <c r="P208" s="18" t="s">
        <v>31</v>
      </c>
      <c r="Q208" s="19" t="s">
        <v>316</v>
      </c>
      <c r="R208" s="19"/>
      <c r="S208" s="14" t="str">
        <f aca="true">IF(AND(O208&lt;TODAY(),P208&lt;&gt;"Approved",P208&lt;&gt;"Live",P208&lt;&gt;"Not applicable"),"Overdue","")</f>
        <v/>
      </c>
      <c r="T208" s="14" t="str">
        <f aca="true">IF(S208="Overdue",TODAY()-O208,"")</f>
        <v/>
      </c>
    </row>
    <row r="209" customFormat="false" ht="23.85" hidden="false" customHeight="false" outlineLevel="0" collapsed="false">
      <c r="A209" s="14" t="s">
        <v>709</v>
      </c>
      <c r="B209" s="15" t="s">
        <v>710</v>
      </c>
      <c r="C209" s="14" t="s">
        <v>56</v>
      </c>
      <c r="D209" s="14" t="s">
        <v>203</v>
      </c>
      <c r="E209" s="14" t="s">
        <v>102</v>
      </c>
      <c r="F209" s="15" t="s">
        <v>49</v>
      </c>
      <c r="G209" s="14" t="s">
        <v>41</v>
      </c>
      <c r="H209" s="16" t="n">
        <v>46440</v>
      </c>
      <c r="I209" s="16" t="n">
        <v>46451</v>
      </c>
      <c r="J209" s="16" t="n">
        <v>46472</v>
      </c>
      <c r="K209" s="16" t="n">
        <v>46486</v>
      </c>
      <c r="L209" s="16" t="n">
        <v>46500</v>
      </c>
      <c r="M209" s="16" t="n">
        <v>46507</v>
      </c>
      <c r="N209" s="17"/>
      <c r="O209" s="16" t="n">
        <f aca="false">IF(N209&lt;&gt;"",N209,M209)</f>
        <v>46507</v>
      </c>
      <c r="P209" s="18" t="s">
        <v>31</v>
      </c>
      <c r="Q209" s="19" t="s">
        <v>540</v>
      </c>
      <c r="R209" s="19"/>
      <c r="S209" s="14" t="str">
        <f aca="true">IF(AND(O209&lt;TODAY(),P209&lt;&gt;"Approved",P209&lt;&gt;"Live",P209&lt;&gt;"Not applicable"),"Overdue","")</f>
        <v/>
      </c>
      <c r="T209" s="14" t="str">
        <f aca="true">IF(S209="Overdue",TODAY()-O209,"")</f>
        <v/>
      </c>
    </row>
    <row r="210" customFormat="false" ht="23.85" hidden="false" customHeight="false" outlineLevel="0" collapsed="false">
      <c r="A210" s="14" t="s">
        <v>711</v>
      </c>
      <c r="B210" s="15" t="s">
        <v>712</v>
      </c>
      <c r="C210" s="14" t="s">
        <v>56</v>
      </c>
      <c r="D210" s="14" t="s">
        <v>203</v>
      </c>
      <c r="E210" s="14" t="s">
        <v>102</v>
      </c>
      <c r="F210" s="15" t="s">
        <v>49</v>
      </c>
      <c r="G210" s="14" t="s">
        <v>41</v>
      </c>
      <c r="H210" s="16" t="n">
        <v>46440</v>
      </c>
      <c r="I210" s="16" t="n">
        <v>46451</v>
      </c>
      <c r="J210" s="16" t="n">
        <v>46472</v>
      </c>
      <c r="K210" s="16" t="n">
        <v>46486</v>
      </c>
      <c r="L210" s="16" t="n">
        <v>46500</v>
      </c>
      <c r="M210" s="16" t="n">
        <v>46507</v>
      </c>
      <c r="N210" s="17"/>
      <c r="O210" s="16" t="n">
        <f aca="false">IF(N210&lt;&gt;"",N210,M210)</f>
        <v>46507</v>
      </c>
      <c r="P210" s="18" t="s">
        <v>31</v>
      </c>
      <c r="Q210" s="19" t="s">
        <v>713</v>
      </c>
      <c r="R210" s="19"/>
      <c r="S210" s="14" t="str">
        <f aca="true">IF(AND(O210&lt;TODAY(),P210&lt;&gt;"Approved",P210&lt;&gt;"Live",P210&lt;&gt;"Not applicable"),"Overdue","")</f>
        <v/>
      </c>
      <c r="T210" s="14" t="str">
        <f aca="true">IF(S210="Overdue",TODAY()-O210,"")</f>
        <v/>
      </c>
    </row>
    <row r="211" customFormat="false" ht="15" hidden="false" customHeight="false" outlineLevel="0" collapsed="false">
      <c r="A211" s="14" t="s">
        <v>714</v>
      </c>
      <c r="B211" s="15" t="s">
        <v>715</v>
      </c>
      <c r="C211" s="14" t="s">
        <v>62</v>
      </c>
      <c r="D211" s="14" t="s">
        <v>275</v>
      </c>
      <c r="E211" s="14" t="s">
        <v>102</v>
      </c>
      <c r="F211" s="15" t="s">
        <v>50</v>
      </c>
      <c r="G211" s="14" t="s">
        <v>41</v>
      </c>
      <c r="H211" s="16" t="n">
        <v>46440</v>
      </c>
      <c r="I211" s="16" t="n">
        <v>46451</v>
      </c>
      <c r="J211" s="16" t="n">
        <v>46472</v>
      </c>
      <c r="K211" s="16" t="n">
        <v>46486</v>
      </c>
      <c r="L211" s="16" t="n">
        <v>46500</v>
      </c>
      <c r="M211" s="16" t="n">
        <v>46507</v>
      </c>
      <c r="N211" s="17"/>
      <c r="O211" s="16" t="n">
        <f aca="false">IF(N211&lt;&gt;"",N211,M211)</f>
        <v>46507</v>
      </c>
      <c r="P211" s="18" t="s">
        <v>31</v>
      </c>
      <c r="Q211" s="19" t="s">
        <v>716</v>
      </c>
      <c r="R211" s="19"/>
      <c r="S211" s="14" t="str">
        <f aca="true">IF(AND(O211&lt;TODAY(),P211&lt;&gt;"Approved",P211&lt;&gt;"Live",P211&lt;&gt;"Not applicable"),"Overdue","")</f>
        <v/>
      </c>
      <c r="T211" s="14" t="str">
        <f aca="true">IF(S211="Overdue",TODAY()-O211,"")</f>
        <v/>
      </c>
    </row>
    <row r="212" customFormat="false" ht="23.85" hidden="false" customHeight="false" outlineLevel="0" collapsed="false">
      <c r="A212" s="14" t="s">
        <v>717</v>
      </c>
      <c r="B212" s="15" t="s">
        <v>718</v>
      </c>
      <c r="C212" s="14" t="s">
        <v>56</v>
      </c>
      <c r="D212" s="14" t="s">
        <v>101</v>
      </c>
      <c r="E212" s="14" t="s">
        <v>102</v>
      </c>
      <c r="F212" s="15" t="s">
        <v>46</v>
      </c>
      <c r="G212" s="14" t="s">
        <v>41</v>
      </c>
      <c r="H212" s="16" t="n">
        <v>46440</v>
      </c>
      <c r="I212" s="16" t="n">
        <v>46451</v>
      </c>
      <c r="J212" s="16" t="n">
        <v>46472</v>
      </c>
      <c r="K212" s="16" t="n">
        <v>46486</v>
      </c>
      <c r="L212" s="16" t="n">
        <v>46500</v>
      </c>
      <c r="M212" s="16" t="n">
        <v>46507</v>
      </c>
      <c r="N212" s="17"/>
      <c r="O212" s="16" t="n">
        <f aca="false">IF(N212&lt;&gt;"",N212,M212)</f>
        <v>46507</v>
      </c>
      <c r="P212" s="18" t="s">
        <v>31</v>
      </c>
      <c r="Q212" s="19" t="s">
        <v>719</v>
      </c>
      <c r="R212" s="19"/>
      <c r="S212" s="14" t="str">
        <f aca="true">IF(AND(O212&lt;TODAY(),P212&lt;&gt;"Approved",P212&lt;&gt;"Live",P212&lt;&gt;"Not applicable"),"Overdue","")</f>
        <v/>
      </c>
      <c r="T212" s="14" t="str">
        <f aca="true">IF(S212="Overdue",TODAY()-O212,"")</f>
        <v/>
      </c>
    </row>
    <row r="213" customFormat="false" ht="23.85" hidden="false" customHeight="false" outlineLevel="0" collapsed="false">
      <c r="A213" s="14" t="s">
        <v>720</v>
      </c>
      <c r="B213" s="15" t="s">
        <v>721</v>
      </c>
      <c r="C213" s="14" t="s">
        <v>56</v>
      </c>
      <c r="D213" s="14" t="s">
        <v>101</v>
      </c>
      <c r="E213" s="14" t="s">
        <v>102</v>
      </c>
      <c r="F213" s="15" t="s">
        <v>46</v>
      </c>
      <c r="G213" s="14" t="s">
        <v>41</v>
      </c>
      <c r="H213" s="16" t="n">
        <v>46440</v>
      </c>
      <c r="I213" s="16" t="n">
        <v>46451</v>
      </c>
      <c r="J213" s="16" t="n">
        <v>46472</v>
      </c>
      <c r="K213" s="16" t="n">
        <v>46486</v>
      </c>
      <c r="L213" s="16" t="n">
        <v>46500</v>
      </c>
      <c r="M213" s="16" t="n">
        <v>46507</v>
      </c>
      <c r="N213" s="17"/>
      <c r="O213" s="16" t="n">
        <f aca="false">IF(N213&lt;&gt;"",N213,M213)</f>
        <v>46507</v>
      </c>
      <c r="P213" s="18" t="s">
        <v>31</v>
      </c>
      <c r="Q213" s="19" t="s">
        <v>722</v>
      </c>
      <c r="R213" s="19"/>
      <c r="S213" s="14" t="str">
        <f aca="true">IF(AND(O213&lt;TODAY(),P213&lt;&gt;"Approved",P213&lt;&gt;"Live",P213&lt;&gt;"Not applicable"),"Overdue","")</f>
        <v/>
      </c>
      <c r="T213" s="14" t="str">
        <f aca="true">IF(S213="Overdue",TODAY()-O213,"")</f>
        <v/>
      </c>
    </row>
    <row r="214" customFormat="false" ht="23.85" hidden="false" customHeight="false" outlineLevel="0" collapsed="false">
      <c r="A214" s="14" t="s">
        <v>723</v>
      </c>
      <c r="B214" s="15" t="s">
        <v>724</v>
      </c>
      <c r="C214" s="14" t="s">
        <v>57</v>
      </c>
      <c r="D214" s="14" t="s">
        <v>101</v>
      </c>
      <c r="E214" s="14" t="s">
        <v>102</v>
      </c>
      <c r="F214" s="15" t="s">
        <v>46</v>
      </c>
      <c r="G214" s="14" t="s">
        <v>41</v>
      </c>
      <c r="H214" s="16" t="n">
        <v>46440</v>
      </c>
      <c r="I214" s="16" t="n">
        <v>46451</v>
      </c>
      <c r="J214" s="16" t="n">
        <v>46472</v>
      </c>
      <c r="K214" s="16" t="n">
        <v>46486</v>
      </c>
      <c r="L214" s="16" t="n">
        <v>46500</v>
      </c>
      <c r="M214" s="16" t="n">
        <v>46507</v>
      </c>
      <c r="N214" s="17"/>
      <c r="O214" s="16" t="n">
        <f aca="false">IF(N214&lt;&gt;"",N214,M214)</f>
        <v>46507</v>
      </c>
      <c r="P214" s="18" t="s">
        <v>31</v>
      </c>
      <c r="Q214" s="19" t="s">
        <v>725</v>
      </c>
      <c r="R214" s="19"/>
      <c r="S214" s="14" t="str">
        <f aca="true">IF(AND(O214&lt;TODAY(),P214&lt;&gt;"Approved",P214&lt;&gt;"Live",P214&lt;&gt;"Not applicable"),"Overdue","")</f>
        <v/>
      </c>
      <c r="T214" s="14" t="str">
        <f aca="true">IF(S214="Overdue",TODAY()-O214,"")</f>
        <v/>
      </c>
    </row>
    <row r="215" customFormat="false" ht="23.85" hidden="false" customHeight="false" outlineLevel="0" collapsed="false">
      <c r="A215" s="14" t="s">
        <v>726</v>
      </c>
      <c r="B215" s="15" t="s">
        <v>727</v>
      </c>
      <c r="C215" s="14" t="s">
        <v>56</v>
      </c>
      <c r="D215" s="14" t="s">
        <v>101</v>
      </c>
      <c r="E215" s="14" t="s">
        <v>102</v>
      </c>
      <c r="F215" s="15" t="s">
        <v>46</v>
      </c>
      <c r="G215" s="14" t="s">
        <v>41</v>
      </c>
      <c r="H215" s="16" t="n">
        <v>46440</v>
      </c>
      <c r="I215" s="16" t="n">
        <v>46451</v>
      </c>
      <c r="J215" s="16" t="n">
        <v>46472</v>
      </c>
      <c r="K215" s="16" t="n">
        <v>46486</v>
      </c>
      <c r="L215" s="16" t="n">
        <v>46500</v>
      </c>
      <c r="M215" s="16" t="n">
        <v>46507</v>
      </c>
      <c r="N215" s="17"/>
      <c r="O215" s="16" t="n">
        <f aca="false">IF(N215&lt;&gt;"",N215,M215)</f>
        <v>46507</v>
      </c>
      <c r="P215" s="18" t="s">
        <v>31</v>
      </c>
      <c r="Q215" s="19" t="s">
        <v>728</v>
      </c>
      <c r="R215" s="19"/>
      <c r="S215" s="14" t="str">
        <f aca="true">IF(AND(O215&lt;TODAY(),P215&lt;&gt;"Approved",P215&lt;&gt;"Live",P215&lt;&gt;"Not applicable"),"Overdue","")</f>
        <v/>
      </c>
      <c r="T215" s="14" t="str">
        <f aca="true">IF(S215="Overdue",TODAY()-O215,"")</f>
        <v/>
      </c>
    </row>
    <row r="216" customFormat="false" ht="23.85" hidden="false" customHeight="false" outlineLevel="0" collapsed="false">
      <c r="A216" s="14" t="s">
        <v>729</v>
      </c>
      <c r="B216" s="15" t="s">
        <v>730</v>
      </c>
      <c r="C216" s="14" t="s">
        <v>56</v>
      </c>
      <c r="D216" s="14" t="s">
        <v>186</v>
      </c>
      <c r="E216" s="14" t="s">
        <v>102</v>
      </c>
      <c r="F216" s="15" t="s">
        <v>51</v>
      </c>
      <c r="G216" s="14" t="s">
        <v>41</v>
      </c>
      <c r="H216" s="16" t="n">
        <v>46440</v>
      </c>
      <c r="I216" s="16" t="n">
        <v>46451</v>
      </c>
      <c r="J216" s="16" t="n">
        <v>46472</v>
      </c>
      <c r="K216" s="16" t="n">
        <v>46486</v>
      </c>
      <c r="L216" s="16" t="n">
        <v>46500</v>
      </c>
      <c r="M216" s="16" t="n">
        <v>46507</v>
      </c>
      <c r="N216" s="17"/>
      <c r="O216" s="16" t="n">
        <f aca="false">IF(N216&lt;&gt;"",N216,M216)</f>
        <v>46507</v>
      </c>
      <c r="P216" s="18" t="s">
        <v>31</v>
      </c>
      <c r="Q216" s="19" t="s">
        <v>731</v>
      </c>
      <c r="R216" s="19"/>
      <c r="S216" s="14" t="str">
        <f aca="true">IF(AND(O216&lt;TODAY(),P216&lt;&gt;"Approved",P216&lt;&gt;"Live",P216&lt;&gt;"Not applicable"),"Overdue","")</f>
        <v/>
      </c>
      <c r="T216" s="14" t="str">
        <f aca="true">IF(S216="Overdue",TODAY()-O216,"")</f>
        <v/>
      </c>
    </row>
    <row r="217" customFormat="false" ht="23.85" hidden="false" customHeight="false" outlineLevel="0" collapsed="false">
      <c r="A217" s="14" t="s">
        <v>732</v>
      </c>
      <c r="B217" s="15" t="s">
        <v>733</v>
      </c>
      <c r="C217" s="14" t="s">
        <v>56</v>
      </c>
      <c r="D217" s="14" t="s">
        <v>186</v>
      </c>
      <c r="E217" s="14" t="s">
        <v>102</v>
      </c>
      <c r="F217" s="15" t="s">
        <v>51</v>
      </c>
      <c r="G217" s="14" t="s">
        <v>41</v>
      </c>
      <c r="H217" s="16" t="n">
        <v>46440</v>
      </c>
      <c r="I217" s="16" t="n">
        <v>46451</v>
      </c>
      <c r="J217" s="16" t="n">
        <v>46472</v>
      </c>
      <c r="K217" s="16" t="n">
        <v>46486</v>
      </c>
      <c r="L217" s="16" t="n">
        <v>46500</v>
      </c>
      <c r="M217" s="16" t="n">
        <v>46507</v>
      </c>
      <c r="N217" s="17"/>
      <c r="O217" s="16" t="n">
        <f aca="false">IF(N217&lt;&gt;"",N217,M217)</f>
        <v>46507</v>
      </c>
      <c r="P217" s="18" t="s">
        <v>31</v>
      </c>
      <c r="Q217" s="19" t="s">
        <v>734</v>
      </c>
      <c r="R217" s="19"/>
      <c r="S217" s="14" t="str">
        <f aca="true">IF(AND(O217&lt;TODAY(),P217&lt;&gt;"Approved",P217&lt;&gt;"Live",P217&lt;&gt;"Not applicable"),"Overdue","")</f>
        <v/>
      </c>
      <c r="T217" s="14" t="str">
        <f aca="true">IF(S217="Overdue",TODAY()-O217,"")</f>
        <v/>
      </c>
    </row>
    <row r="218" customFormat="false" ht="23.85" hidden="false" customHeight="false" outlineLevel="0" collapsed="false">
      <c r="A218" s="14" t="s">
        <v>735</v>
      </c>
      <c r="B218" s="15" t="s">
        <v>736</v>
      </c>
      <c r="C218" s="14" t="s">
        <v>57</v>
      </c>
      <c r="D218" s="14" t="s">
        <v>186</v>
      </c>
      <c r="E218" s="14" t="s">
        <v>102</v>
      </c>
      <c r="F218" s="15" t="s">
        <v>51</v>
      </c>
      <c r="G218" s="14" t="s">
        <v>41</v>
      </c>
      <c r="H218" s="16" t="n">
        <v>46440</v>
      </c>
      <c r="I218" s="16" t="n">
        <v>46451</v>
      </c>
      <c r="J218" s="16" t="n">
        <v>46472</v>
      </c>
      <c r="K218" s="16" t="n">
        <v>46486</v>
      </c>
      <c r="L218" s="16" t="n">
        <v>46500</v>
      </c>
      <c r="M218" s="16" t="n">
        <v>46507</v>
      </c>
      <c r="N218" s="17"/>
      <c r="O218" s="16" t="n">
        <f aca="false">IF(N218&lt;&gt;"",N218,M218)</f>
        <v>46507</v>
      </c>
      <c r="P218" s="18" t="s">
        <v>31</v>
      </c>
      <c r="Q218" s="19" t="s">
        <v>737</v>
      </c>
      <c r="R218" s="19"/>
      <c r="S218" s="14" t="str">
        <f aca="true">IF(AND(O218&lt;TODAY(),P218&lt;&gt;"Approved",P218&lt;&gt;"Live",P218&lt;&gt;"Not applicable"),"Overdue","")</f>
        <v/>
      </c>
      <c r="T218" s="14" t="str">
        <f aca="true">IF(S218="Overdue",TODAY()-O218,"")</f>
        <v/>
      </c>
    </row>
    <row r="219" customFormat="false" ht="23.85" hidden="false" customHeight="false" outlineLevel="0" collapsed="false">
      <c r="A219" s="14" t="s">
        <v>738</v>
      </c>
      <c r="B219" s="15" t="s">
        <v>739</v>
      </c>
      <c r="C219" s="14" t="s">
        <v>57</v>
      </c>
      <c r="D219" s="14" t="s">
        <v>170</v>
      </c>
      <c r="E219" s="14" t="s">
        <v>102</v>
      </c>
      <c r="F219" s="15" t="s">
        <v>51</v>
      </c>
      <c r="G219" s="14" t="s">
        <v>41</v>
      </c>
      <c r="H219" s="16" t="n">
        <v>46440</v>
      </c>
      <c r="I219" s="16" t="n">
        <v>46451</v>
      </c>
      <c r="J219" s="16" t="n">
        <v>46472</v>
      </c>
      <c r="K219" s="16" t="n">
        <v>46486</v>
      </c>
      <c r="L219" s="16" t="n">
        <v>46500</v>
      </c>
      <c r="M219" s="16" t="n">
        <v>46507</v>
      </c>
      <c r="N219" s="17"/>
      <c r="O219" s="16" t="n">
        <f aca="false">IF(N219&lt;&gt;"",N219,M219)</f>
        <v>46507</v>
      </c>
      <c r="P219" s="18" t="s">
        <v>31</v>
      </c>
      <c r="Q219" s="19" t="s">
        <v>740</v>
      </c>
      <c r="R219" s="19"/>
      <c r="S219" s="14" t="str">
        <f aca="true">IF(AND(O219&lt;TODAY(),P219&lt;&gt;"Approved",P219&lt;&gt;"Live",P219&lt;&gt;"Not applicable"),"Overdue","")</f>
        <v/>
      </c>
      <c r="T219" s="14" t="str">
        <f aca="true">IF(S219="Overdue",TODAY()-O219,"")</f>
        <v/>
      </c>
    </row>
    <row r="220" customFormat="false" ht="23.85" hidden="false" customHeight="false" outlineLevel="0" collapsed="false">
      <c r="A220" s="14" t="s">
        <v>741</v>
      </c>
      <c r="B220" s="15" t="s">
        <v>742</v>
      </c>
      <c r="C220" s="14" t="s">
        <v>57</v>
      </c>
      <c r="D220" s="14" t="s">
        <v>170</v>
      </c>
      <c r="E220" s="14" t="s">
        <v>116</v>
      </c>
      <c r="F220" s="15" t="s">
        <v>51</v>
      </c>
      <c r="G220" s="14" t="s">
        <v>41</v>
      </c>
      <c r="H220" s="16" t="n">
        <v>46440</v>
      </c>
      <c r="I220" s="16" t="n">
        <v>46451</v>
      </c>
      <c r="J220" s="16" t="n">
        <v>46472</v>
      </c>
      <c r="K220" s="16" t="n">
        <v>46486</v>
      </c>
      <c r="L220" s="16" t="n">
        <v>46500</v>
      </c>
      <c r="M220" s="16" t="n">
        <v>46507</v>
      </c>
      <c r="N220" s="17"/>
      <c r="O220" s="16" t="n">
        <f aca="false">IF(N220&lt;&gt;"",N220,M220)</f>
        <v>46507</v>
      </c>
      <c r="P220" s="18" t="s">
        <v>31</v>
      </c>
      <c r="Q220" s="19" t="s">
        <v>743</v>
      </c>
      <c r="R220" s="19"/>
      <c r="S220" s="14" t="str">
        <f aca="true">IF(AND(O220&lt;TODAY(),P220&lt;&gt;"Approved",P220&lt;&gt;"Live",P220&lt;&gt;"Not applicable"),"Overdue","")</f>
        <v/>
      </c>
      <c r="T220" s="14" t="str">
        <f aca="true">IF(S220="Overdue",TODAY()-O220,"")</f>
        <v/>
      </c>
    </row>
    <row r="221" customFormat="false" ht="23.85" hidden="false" customHeight="false" outlineLevel="0" collapsed="false">
      <c r="A221" s="14" t="s">
        <v>744</v>
      </c>
      <c r="B221" s="15" t="s">
        <v>745</v>
      </c>
      <c r="C221" s="14" t="s">
        <v>57</v>
      </c>
      <c r="D221" s="14" t="s">
        <v>170</v>
      </c>
      <c r="E221" s="14" t="s">
        <v>102</v>
      </c>
      <c r="F221" s="15" t="s">
        <v>51</v>
      </c>
      <c r="G221" s="14" t="s">
        <v>41</v>
      </c>
      <c r="H221" s="16" t="n">
        <v>46440</v>
      </c>
      <c r="I221" s="16" t="n">
        <v>46451</v>
      </c>
      <c r="J221" s="16" t="n">
        <v>46472</v>
      </c>
      <c r="K221" s="16" t="n">
        <v>46486</v>
      </c>
      <c r="L221" s="16" t="n">
        <v>46500</v>
      </c>
      <c r="M221" s="16" t="n">
        <v>46507</v>
      </c>
      <c r="N221" s="17"/>
      <c r="O221" s="16" t="n">
        <f aca="false">IF(N221&lt;&gt;"",N221,M221)</f>
        <v>46507</v>
      </c>
      <c r="P221" s="18" t="s">
        <v>31</v>
      </c>
      <c r="Q221" s="19" t="s">
        <v>746</v>
      </c>
      <c r="R221" s="19"/>
      <c r="S221" s="14" t="str">
        <f aca="true">IF(AND(O221&lt;TODAY(),P221&lt;&gt;"Approved",P221&lt;&gt;"Live",P221&lt;&gt;"Not applicable"),"Overdue","")</f>
        <v/>
      </c>
      <c r="T221" s="14" t="str">
        <f aca="true">IF(S221="Overdue",TODAY()-O221,"")</f>
        <v/>
      </c>
    </row>
    <row r="222" customFormat="false" ht="15" hidden="false" customHeight="false" outlineLevel="0" collapsed="false">
      <c r="A222" s="14" t="s">
        <v>747</v>
      </c>
      <c r="B222" s="15" t="s">
        <v>748</v>
      </c>
      <c r="C222" s="14" t="s">
        <v>56</v>
      </c>
      <c r="D222" s="14" t="s">
        <v>170</v>
      </c>
      <c r="E222" s="14" t="s">
        <v>102</v>
      </c>
      <c r="F222" s="15" t="s">
        <v>51</v>
      </c>
      <c r="G222" s="14" t="s">
        <v>41</v>
      </c>
      <c r="H222" s="16" t="n">
        <v>46440</v>
      </c>
      <c r="I222" s="16" t="n">
        <v>46451</v>
      </c>
      <c r="J222" s="16" t="n">
        <v>46472</v>
      </c>
      <c r="K222" s="16" t="n">
        <v>46486</v>
      </c>
      <c r="L222" s="16" t="n">
        <v>46500</v>
      </c>
      <c r="M222" s="16" t="n">
        <v>46507</v>
      </c>
      <c r="N222" s="17"/>
      <c r="O222" s="16" t="n">
        <f aca="false">IF(N222&lt;&gt;"",N222,M222)</f>
        <v>46507</v>
      </c>
      <c r="P222" s="18" t="s">
        <v>31</v>
      </c>
      <c r="Q222" s="19" t="s">
        <v>749</v>
      </c>
      <c r="R222" s="19"/>
      <c r="S222" s="14" t="str">
        <f aca="true">IF(AND(O222&lt;TODAY(),P222&lt;&gt;"Approved",P222&lt;&gt;"Live",P222&lt;&gt;"Not applicable"),"Overdue","")</f>
        <v/>
      </c>
      <c r="T222" s="14" t="str">
        <f aca="true">IF(S222="Overdue",TODAY()-O222,"")</f>
        <v/>
      </c>
    </row>
    <row r="223" customFormat="false" ht="23.85" hidden="false" customHeight="false" outlineLevel="0" collapsed="false">
      <c r="A223" s="14" t="s">
        <v>750</v>
      </c>
      <c r="B223" s="15" t="s">
        <v>751</v>
      </c>
      <c r="C223" s="14" t="s">
        <v>56</v>
      </c>
      <c r="D223" s="14" t="s">
        <v>170</v>
      </c>
      <c r="E223" s="14" t="s">
        <v>82</v>
      </c>
      <c r="F223" s="15" t="s">
        <v>51</v>
      </c>
      <c r="G223" s="14" t="s">
        <v>41</v>
      </c>
      <c r="H223" s="16" t="n">
        <v>46440</v>
      </c>
      <c r="I223" s="16" t="n">
        <v>46451</v>
      </c>
      <c r="J223" s="16" t="n">
        <v>46472</v>
      </c>
      <c r="K223" s="16" t="n">
        <v>46486</v>
      </c>
      <c r="L223" s="16" t="n">
        <v>46500</v>
      </c>
      <c r="M223" s="16" t="n">
        <v>46507</v>
      </c>
      <c r="N223" s="17"/>
      <c r="O223" s="16" t="n">
        <f aca="false">IF(N223&lt;&gt;"",N223,M223)</f>
        <v>46507</v>
      </c>
      <c r="P223" s="18" t="s">
        <v>31</v>
      </c>
      <c r="Q223" s="19" t="s">
        <v>752</v>
      </c>
      <c r="R223" s="19"/>
      <c r="S223" s="14" t="str">
        <f aca="true">IF(AND(O223&lt;TODAY(),P223&lt;&gt;"Approved",P223&lt;&gt;"Live",P223&lt;&gt;"Not applicable"),"Overdue","")</f>
        <v/>
      </c>
      <c r="T223" s="14" t="str">
        <f aca="true">IF(S223="Overdue",TODAY()-O223,"")</f>
        <v/>
      </c>
    </row>
    <row r="224" customFormat="false" ht="23.85" hidden="false" customHeight="false" outlineLevel="0" collapsed="false">
      <c r="A224" s="14" t="s">
        <v>753</v>
      </c>
      <c r="B224" s="15" t="s">
        <v>754</v>
      </c>
      <c r="C224" s="14" t="s">
        <v>56</v>
      </c>
      <c r="D224" s="14" t="s">
        <v>190</v>
      </c>
      <c r="E224" s="14" t="s">
        <v>102</v>
      </c>
      <c r="F224" s="15" t="s">
        <v>48</v>
      </c>
      <c r="G224" s="14" t="s">
        <v>41</v>
      </c>
      <c r="H224" s="16" t="n">
        <v>46440</v>
      </c>
      <c r="I224" s="16" t="n">
        <v>46451</v>
      </c>
      <c r="J224" s="16" t="n">
        <v>46472</v>
      </c>
      <c r="K224" s="16" t="n">
        <v>46486</v>
      </c>
      <c r="L224" s="16" t="n">
        <v>46500</v>
      </c>
      <c r="M224" s="16" t="n">
        <v>46507</v>
      </c>
      <c r="N224" s="17"/>
      <c r="O224" s="16" t="n">
        <f aca="false">IF(N224&lt;&gt;"",N224,M224)</f>
        <v>46507</v>
      </c>
      <c r="P224" s="18" t="s">
        <v>31</v>
      </c>
      <c r="Q224" s="19" t="s">
        <v>755</v>
      </c>
      <c r="R224" s="19"/>
      <c r="S224" s="14" t="str">
        <f aca="true">IF(AND(O224&lt;TODAY(),P224&lt;&gt;"Approved",P224&lt;&gt;"Live",P224&lt;&gt;"Not applicable"),"Overdue","")</f>
        <v/>
      </c>
      <c r="T224" s="14" t="str">
        <f aca="true">IF(S224="Overdue",TODAY()-O224,"")</f>
        <v/>
      </c>
    </row>
    <row r="225" customFormat="false" ht="23.85" hidden="false" customHeight="false" outlineLevel="0" collapsed="false">
      <c r="A225" s="14" t="s">
        <v>756</v>
      </c>
      <c r="B225" s="15" t="s">
        <v>757</v>
      </c>
      <c r="C225" s="14" t="s">
        <v>56</v>
      </c>
      <c r="D225" s="14" t="s">
        <v>190</v>
      </c>
      <c r="E225" s="14" t="s">
        <v>102</v>
      </c>
      <c r="F225" s="15" t="s">
        <v>48</v>
      </c>
      <c r="G225" s="14" t="s">
        <v>41</v>
      </c>
      <c r="H225" s="16" t="n">
        <v>46440</v>
      </c>
      <c r="I225" s="16" t="n">
        <v>46451</v>
      </c>
      <c r="J225" s="16" t="n">
        <v>46472</v>
      </c>
      <c r="K225" s="16" t="n">
        <v>46486</v>
      </c>
      <c r="L225" s="16" t="n">
        <v>46500</v>
      </c>
      <c r="M225" s="16" t="n">
        <v>46507</v>
      </c>
      <c r="N225" s="17"/>
      <c r="O225" s="16" t="n">
        <f aca="false">IF(N225&lt;&gt;"",N225,M225)</f>
        <v>46507</v>
      </c>
      <c r="P225" s="18" t="s">
        <v>31</v>
      </c>
      <c r="Q225" s="19" t="s">
        <v>725</v>
      </c>
      <c r="R225" s="19"/>
      <c r="S225" s="14" t="str">
        <f aca="true">IF(AND(O225&lt;TODAY(),P225&lt;&gt;"Approved",P225&lt;&gt;"Live",P225&lt;&gt;"Not applicable"),"Overdue","")</f>
        <v/>
      </c>
      <c r="T225" s="14" t="str">
        <f aca="true">IF(S225="Overdue",TODAY()-O225,"")</f>
        <v/>
      </c>
    </row>
    <row r="226" customFormat="false" ht="23.85" hidden="false" customHeight="false" outlineLevel="0" collapsed="false">
      <c r="A226" s="14" t="s">
        <v>758</v>
      </c>
      <c r="B226" s="15" t="s">
        <v>759</v>
      </c>
      <c r="C226" s="14" t="s">
        <v>57</v>
      </c>
      <c r="D226" s="14" t="s">
        <v>190</v>
      </c>
      <c r="E226" s="14" t="s">
        <v>102</v>
      </c>
      <c r="F226" s="15" t="s">
        <v>48</v>
      </c>
      <c r="G226" s="14" t="s">
        <v>41</v>
      </c>
      <c r="H226" s="16" t="n">
        <v>46440</v>
      </c>
      <c r="I226" s="16" t="n">
        <v>46451</v>
      </c>
      <c r="J226" s="16" t="n">
        <v>46472</v>
      </c>
      <c r="K226" s="16" t="n">
        <v>46486</v>
      </c>
      <c r="L226" s="16" t="n">
        <v>46500</v>
      </c>
      <c r="M226" s="16" t="n">
        <v>46507</v>
      </c>
      <c r="N226" s="17"/>
      <c r="O226" s="16" t="n">
        <f aca="false">IF(N226&lt;&gt;"",N226,M226)</f>
        <v>46507</v>
      </c>
      <c r="P226" s="18" t="s">
        <v>31</v>
      </c>
      <c r="Q226" s="19" t="s">
        <v>454</v>
      </c>
      <c r="R226" s="19"/>
      <c r="S226" s="14" t="str">
        <f aca="true">IF(AND(O226&lt;TODAY(),P226&lt;&gt;"Approved",P226&lt;&gt;"Live",P226&lt;&gt;"Not applicable"),"Overdue","")</f>
        <v/>
      </c>
      <c r="T226" s="14" t="str">
        <f aca="true">IF(S226="Overdue",TODAY()-O226,"")</f>
        <v/>
      </c>
    </row>
    <row r="227" customFormat="false" ht="23.85" hidden="false" customHeight="false" outlineLevel="0" collapsed="false">
      <c r="A227" s="14" t="s">
        <v>760</v>
      </c>
      <c r="B227" s="15" t="s">
        <v>761</v>
      </c>
      <c r="C227" s="14" t="s">
        <v>56</v>
      </c>
      <c r="D227" s="14" t="s">
        <v>190</v>
      </c>
      <c r="E227" s="14" t="s">
        <v>102</v>
      </c>
      <c r="F227" s="15" t="s">
        <v>48</v>
      </c>
      <c r="G227" s="14" t="s">
        <v>41</v>
      </c>
      <c r="H227" s="16" t="n">
        <v>46440</v>
      </c>
      <c r="I227" s="16" t="n">
        <v>46451</v>
      </c>
      <c r="J227" s="16" t="n">
        <v>46472</v>
      </c>
      <c r="K227" s="16" t="n">
        <v>46486</v>
      </c>
      <c r="L227" s="16" t="n">
        <v>46500</v>
      </c>
      <c r="M227" s="16" t="n">
        <v>46507</v>
      </c>
      <c r="N227" s="17"/>
      <c r="O227" s="16" t="n">
        <f aca="false">IF(N227&lt;&gt;"",N227,M227)</f>
        <v>46507</v>
      </c>
      <c r="P227" s="18" t="s">
        <v>31</v>
      </c>
      <c r="Q227" s="19" t="s">
        <v>762</v>
      </c>
      <c r="R227" s="19"/>
      <c r="S227" s="14" t="str">
        <f aca="true">IF(AND(O227&lt;TODAY(),P227&lt;&gt;"Approved",P227&lt;&gt;"Live",P227&lt;&gt;"Not applicable"),"Overdue","")</f>
        <v/>
      </c>
      <c r="T227" s="14" t="str">
        <f aca="true">IF(S227="Overdue",TODAY()-O227,"")</f>
        <v/>
      </c>
    </row>
    <row r="228" customFormat="false" ht="23.85" hidden="false" customHeight="false" outlineLevel="0" collapsed="false">
      <c r="A228" s="14" t="s">
        <v>763</v>
      </c>
      <c r="B228" s="15" t="s">
        <v>764</v>
      </c>
      <c r="C228" s="14" t="s">
        <v>57</v>
      </c>
      <c r="D228" s="14" t="s">
        <v>190</v>
      </c>
      <c r="E228" s="14" t="s">
        <v>116</v>
      </c>
      <c r="F228" s="15" t="s">
        <v>48</v>
      </c>
      <c r="G228" s="14" t="s">
        <v>41</v>
      </c>
      <c r="H228" s="16" t="n">
        <v>46440</v>
      </c>
      <c r="I228" s="16" t="n">
        <v>46451</v>
      </c>
      <c r="J228" s="16" t="n">
        <v>46472</v>
      </c>
      <c r="K228" s="16" t="n">
        <v>46486</v>
      </c>
      <c r="L228" s="16" t="n">
        <v>46500</v>
      </c>
      <c r="M228" s="16" t="n">
        <v>46507</v>
      </c>
      <c r="N228" s="17"/>
      <c r="O228" s="16" t="n">
        <f aca="false">IF(N228&lt;&gt;"",N228,M228)</f>
        <v>46507</v>
      </c>
      <c r="P228" s="18" t="s">
        <v>31</v>
      </c>
      <c r="Q228" s="19" t="s">
        <v>765</v>
      </c>
      <c r="R228" s="19"/>
      <c r="S228" s="14" t="str">
        <f aca="true">IF(AND(O228&lt;TODAY(),P228&lt;&gt;"Approved",P228&lt;&gt;"Live",P228&lt;&gt;"Not applicable"),"Overdue","")</f>
        <v/>
      </c>
      <c r="T228" s="14" t="str">
        <f aca="true">IF(S228="Overdue",TODAY()-O228,"")</f>
        <v/>
      </c>
    </row>
    <row r="229" customFormat="false" ht="23.85" hidden="false" customHeight="false" outlineLevel="0" collapsed="false">
      <c r="A229" s="14" t="s">
        <v>766</v>
      </c>
      <c r="B229" s="15" t="s">
        <v>767</v>
      </c>
      <c r="C229" s="14" t="s">
        <v>57</v>
      </c>
      <c r="D229" s="14" t="s">
        <v>190</v>
      </c>
      <c r="E229" s="14" t="s">
        <v>102</v>
      </c>
      <c r="F229" s="15" t="s">
        <v>48</v>
      </c>
      <c r="G229" s="14" t="s">
        <v>41</v>
      </c>
      <c r="H229" s="16" t="n">
        <v>46440</v>
      </c>
      <c r="I229" s="16" t="n">
        <v>46451</v>
      </c>
      <c r="J229" s="16" t="n">
        <v>46472</v>
      </c>
      <c r="K229" s="16" t="n">
        <v>46486</v>
      </c>
      <c r="L229" s="16" t="n">
        <v>46500</v>
      </c>
      <c r="M229" s="16" t="n">
        <v>46507</v>
      </c>
      <c r="N229" s="17"/>
      <c r="O229" s="16" t="n">
        <f aca="false">IF(N229&lt;&gt;"",N229,M229)</f>
        <v>46507</v>
      </c>
      <c r="P229" s="18" t="s">
        <v>31</v>
      </c>
      <c r="Q229" s="19" t="s">
        <v>768</v>
      </c>
      <c r="R229" s="19"/>
      <c r="S229" s="14" t="str">
        <f aca="true">IF(AND(O229&lt;TODAY(),P229&lt;&gt;"Approved",P229&lt;&gt;"Live",P229&lt;&gt;"Not applicable"),"Overdue","")</f>
        <v/>
      </c>
      <c r="T229" s="14" t="str">
        <f aca="true">IF(S229="Overdue",TODAY()-O229,"")</f>
        <v/>
      </c>
    </row>
    <row r="230" customFormat="false" ht="23.85" hidden="false" customHeight="false" outlineLevel="0" collapsed="false">
      <c r="A230" s="14" t="s">
        <v>769</v>
      </c>
      <c r="B230" s="15" t="s">
        <v>770</v>
      </c>
      <c r="C230" s="14" t="s">
        <v>56</v>
      </c>
      <c r="D230" s="14" t="s">
        <v>190</v>
      </c>
      <c r="E230" s="14" t="s">
        <v>102</v>
      </c>
      <c r="F230" s="15" t="s">
        <v>48</v>
      </c>
      <c r="G230" s="14" t="s">
        <v>41</v>
      </c>
      <c r="H230" s="16" t="n">
        <v>46440</v>
      </c>
      <c r="I230" s="16" t="n">
        <v>46451</v>
      </c>
      <c r="J230" s="16" t="n">
        <v>46472</v>
      </c>
      <c r="K230" s="16" t="n">
        <v>46486</v>
      </c>
      <c r="L230" s="16" t="n">
        <v>46500</v>
      </c>
      <c r="M230" s="16" t="n">
        <v>46507</v>
      </c>
      <c r="N230" s="17"/>
      <c r="O230" s="16" t="n">
        <f aca="false">IF(N230&lt;&gt;"",N230,M230)</f>
        <v>46507</v>
      </c>
      <c r="P230" s="18" t="s">
        <v>31</v>
      </c>
      <c r="Q230" s="19" t="s">
        <v>771</v>
      </c>
      <c r="R230" s="19"/>
      <c r="S230" s="14" t="str">
        <f aca="true">IF(AND(O230&lt;TODAY(),P230&lt;&gt;"Approved",P230&lt;&gt;"Live",P230&lt;&gt;"Not applicable"),"Overdue","")</f>
        <v/>
      </c>
      <c r="T230" s="14" t="str">
        <f aca="true">IF(S230="Overdue",TODAY()-O230,"")</f>
        <v/>
      </c>
    </row>
    <row r="231" customFormat="false" ht="15" hidden="false" customHeight="false" outlineLevel="0" collapsed="false">
      <c r="A231" s="14" t="s">
        <v>772</v>
      </c>
      <c r="B231" s="15" t="s">
        <v>773</v>
      </c>
      <c r="C231" s="14" t="s">
        <v>57</v>
      </c>
      <c r="D231" s="14" t="s">
        <v>282</v>
      </c>
      <c r="E231" s="14" t="s">
        <v>102</v>
      </c>
      <c r="F231" s="15" t="s">
        <v>49</v>
      </c>
      <c r="G231" s="14" t="s">
        <v>41</v>
      </c>
      <c r="H231" s="16" t="n">
        <v>46440</v>
      </c>
      <c r="I231" s="16" t="n">
        <v>46451</v>
      </c>
      <c r="J231" s="16" t="n">
        <v>46472</v>
      </c>
      <c r="K231" s="16" t="n">
        <v>46486</v>
      </c>
      <c r="L231" s="16" t="n">
        <v>46500</v>
      </c>
      <c r="M231" s="16" t="n">
        <v>46507</v>
      </c>
      <c r="N231" s="17"/>
      <c r="O231" s="16" t="n">
        <f aca="false">IF(N231&lt;&gt;"",N231,M231)</f>
        <v>46507</v>
      </c>
      <c r="P231" s="18" t="s">
        <v>31</v>
      </c>
      <c r="Q231" s="19" t="s">
        <v>774</v>
      </c>
      <c r="R231" s="19"/>
      <c r="S231" s="14" t="str">
        <f aca="true">IF(AND(O231&lt;TODAY(),P231&lt;&gt;"Approved",P231&lt;&gt;"Live",P231&lt;&gt;"Not applicable"),"Overdue","")</f>
        <v/>
      </c>
      <c r="T231" s="14" t="str">
        <f aca="true">IF(S231="Overdue",TODAY()-O231,"")</f>
        <v/>
      </c>
    </row>
    <row r="232" customFormat="false" ht="15" hidden="false" customHeight="false" outlineLevel="0" collapsed="false">
      <c r="A232" s="14" t="s">
        <v>775</v>
      </c>
      <c r="B232" s="15" t="s">
        <v>776</v>
      </c>
      <c r="C232" s="14" t="s">
        <v>59</v>
      </c>
      <c r="D232" s="14" t="s">
        <v>148</v>
      </c>
      <c r="E232" s="14" t="s">
        <v>102</v>
      </c>
      <c r="F232" s="15" t="s">
        <v>50</v>
      </c>
      <c r="G232" s="14" t="s">
        <v>41</v>
      </c>
      <c r="H232" s="16" t="n">
        <v>46440</v>
      </c>
      <c r="I232" s="16" t="n">
        <v>46451</v>
      </c>
      <c r="J232" s="16" t="n">
        <v>46472</v>
      </c>
      <c r="K232" s="16" t="n">
        <v>46486</v>
      </c>
      <c r="L232" s="16" t="n">
        <v>46500</v>
      </c>
      <c r="M232" s="16" t="n">
        <v>46507</v>
      </c>
      <c r="N232" s="17"/>
      <c r="O232" s="16" t="n">
        <f aca="false">IF(N232&lt;&gt;"",N232,M232)</f>
        <v>46507</v>
      </c>
      <c r="P232" s="18" t="s">
        <v>31</v>
      </c>
      <c r="Q232" s="19" t="s">
        <v>777</v>
      </c>
      <c r="R232" s="19"/>
      <c r="S232" s="14" t="str">
        <f aca="true">IF(AND(O232&lt;TODAY(),P232&lt;&gt;"Approved",P232&lt;&gt;"Live",P232&lt;&gt;"Not applicable"),"Overdue","")</f>
        <v/>
      </c>
      <c r="T232" s="14" t="str">
        <f aca="true">IF(S232="Overdue",TODAY()-O232,"")</f>
        <v/>
      </c>
    </row>
    <row r="233" customFormat="false" ht="23.85" hidden="false" customHeight="false" outlineLevel="0" collapsed="false">
      <c r="A233" s="14" t="s">
        <v>778</v>
      </c>
      <c r="B233" s="15" t="s">
        <v>779</v>
      </c>
      <c r="C233" s="14" t="s">
        <v>56</v>
      </c>
      <c r="D233" s="14" t="s">
        <v>282</v>
      </c>
      <c r="E233" s="14" t="s">
        <v>102</v>
      </c>
      <c r="F233" s="15" t="s">
        <v>49</v>
      </c>
      <c r="G233" s="14" t="s">
        <v>41</v>
      </c>
      <c r="H233" s="16" t="n">
        <v>46440</v>
      </c>
      <c r="I233" s="16" t="n">
        <v>46451</v>
      </c>
      <c r="J233" s="16" t="n">
        <v>46472</v>
      </c>
      <c r="K233" s="16" t="n">
        <v>46486</v>
      </c>
      <c r="L233" s="16" t="n">
        <v>46500</v>
      </c>
      <c r="M233" s="16" t="n">
        <v>46507</v>
      </c>
      <c r="N233" s="17"/>
      <c r="O233" s="16" t="n">
        <f aca="false">IF(N233&lt;&gt;"",N233,M233)</f>
        <v>46507</v>
      </c>
      <c r="P233" s="18" t="s">
        <v>31</v>
      </c>
      <c r="Q233" s="19" t="s">
        <v>780</v>
      </c>
      <c r="R233" s="19"/>
      <c r="S233" s="14" t="str">
        <f aca="true">IF(AND(O233&lt;TODAY(),P233&lt;&gt;"Approved",P233&lt;&gt;"Live",P233&lt;&gt;"Not applicable"),"Overdue","")</f>
        <v/>
      </c>
      <c r="T233" s="14" t="str">
        <f aca="true">IF(S233="Overdue",TODAY()-O233,"")</f>
        <v/>
      </c>
    </row>
    <row r="234" customFormat="false" ht="15" hidden="false" customHeight="false" outlineLevel="0" collapsed="false">
      <c r="A234" s="14" t="s">
        <v>781</v>
      </c>
      <c r="B234" s="15" t="s">
        <v>782</v>
      </c>
      <c r="C234" s="14" t="s">
        <v>56</v>
      </c>
      <c r="D234" s="14" t="s">
        <v>282</v>
      </c>
      <c r="E234" s="14" t="s">
        <v>102</v>
      </c>
      <c r="F234" s="15" t="s">
        <v>49</v>
      </c>
      <c r="G234" s="14" t="s">
        <v>41</v>
      </c>
      <c r="H234" s="16" t="n">
        <v>46440</v>
      </c>
      <c r="I234" s="16" t="n">
        <v>46451</v>
      </c>
      <c r="J234" s="16" t="n">
        <v>46472</v>
      </c>
      <c r="K234" s="16" t="n">
        <v>46486</v>
      </c>
      <c r="L234" s="16" t="n">
        <v>46500</v>
      </c>
      <c r="M234" s="16" t="n">
        <v>46507</v>
      </c>
      <c r="N234" s="17"/>
      <c r="O234" s="16" t="n">
        <f aca="false">IF(N234&lt;&gt;"",N234,M234)</f>
        <v>46507</v>
      </c>
      <c r="P234" s="18" t="s">
        <v>31</v>
      </c>
      <c r="Q234" s="19" t="s">
        <v>783</v>
      </c>
      <c r="R234" s="19"/>
      <c r="S234" s="14" t="str">
        <f aca="true">IF(AND(O234&lt;TODAY(),P234&lt;&gt;"Approved",P234&lt;&gt;"Live",P234&lt;&gt;"Not applicable"),"Overdue","")</f>
        <v/>
      </c>
      <c r="T234" s="14" t="str">
        <f aca="true">IF(S234="Overdue",TODAY()-O234,"")</f>
        <v/>
      </c>
    </row>
    <row r="235" customFormat="false" ht="23.85" hidden="false" customHeight="false" outlineLevel="0" collapsed="false">
      <c r="A235" s="14" t="s">
        <v>784</v>
      </c>
      <c r="B235" s="15" t="s">
        <v>785</v>
      </c>
      <c r="C235" s="14" t="s">
        <v>59</v>
      </c>
      <c r="D235" s="14" t="s">
        <v>148</v>
      </c>
      <c r="E235" s="14" t="s">
        <v>102</v>
      </c>
      <c r="F235" s="15" t="s">
        <v>50</v>
      </c>
      <c r="G235" s="14" t="s">
        <v>41</v>
      </c>
      <c r="H235" s="16" t="n">
        <v>46440</v>
      </c>
      <c r="I235" s="16" t="n">
        <v>46451</v>
      </c>
      <c r="J235" s="16" t="n">
        <v>46472</v>
      </c>
      <c r="K235" s="16" t="n">
        <v>46486</v>
      </c>
      <c r="L235" s="16" t="n">
        <v>46500</v>
      </c>
      <c r="M235" s="16" t="n">
        <v>46507</v>
      </c>
      <c r="N235" s="17"/>
      <c r="O235" s="16" t="n">
        <f aca="false">IF(N235&lt;&gt;"",N235,M235)</f>
        <v>46507</v>
      </c>
      <c r="P235" s="18" t="s">
        <v>31</v>
      </c>
      <c r="Q235" s="19" t="s">
        <v>786</v>
      </c>
      <c r="R235" s="19"/>
      <c r="S235" s="14" t="str">
        <f aca="true">IF(AND(O235&lt;TODAY(),P235&lt;&gt;"Approved",P235&lt;&gt;"Live",P235&lt;&gt;"Not applicable"),"Overdue","")</f>
        <v/>
      </c>
      <c r="T235" s="14" t="str">
        <f aca="true">IF(S235="Overdue",TODAY()-O235,"")</f>
        <v/>
      </c>
    </row>
    <row r="236" customFormat="false" ht="23.85" hidden="false" customHeight="false" outlineLevel="0" collapsed="false">
      <c r="A236" s="14" t="s">
        <v>787</v>
      </c>
      <c r="B236" s="15" t="s">
        <v>788</v>
      </c>
      <c r="C236" s="14" t="s">
        <v>56</v>
      </c>
      <c r="D236" s="14" t="s">
        <v>190</v>
      </c>
      <c r="E236" s="14" t="s">
        <v>102</v>
      </c>
      <c r="F236" s="15" t="s">
        <v>48</v>
      </c>
      <c r="G236" s="14" t="s">
        <v>41</v>
      </c>
      <c r="H236" s="16" t="n">
        <v>46440</v>
      </c>
      <c r="I236" s="16" t="n">
        <v>46451</v>
      </c>
      <c r="J236" s="16" t="n">
        <v>46472</v>
      </c>
      <c r="K236" s="16" t="n">
        <v>46486</v>
      </c>
      <c r="L236" s="16" t="n">
        <v>46500</v>
      </c>
      <c r="M236" s="16" t="n">
        <v>46507</v>
      </c>
      <c r="N236" s="17"/>
      <c r="O236" s="16" t="n">
        <f aca="false">IF(N236&lt;&gt;"",N236,M236)</f>
        <v>46507</v>
      </c>
      <c r="P236" s="18" t="s">
        <v>31</v>
      </c>
      <c r="Q236" s="19" t="s">
        <v>789</v>
      </c>
      <c r="R236" s="19"/>
      <c r="S236" s="14" t="str">
        <f aca="true">IF(AND(O236&lt;TODAY(),P236&lt;&gt;"Approved",P236&lt;&gt;"Live",P236&lt;&gt;"Not applicable"),"Overdue","")</f>
        <v/>
      </c>
      <c r="T236" s="14" t="str">
        <f aca="true">IF(S236="Overdue",TODAY()-O236,"")</f>
        <v/>
      </c>
    </row>
    <row r="237" customFormat="false" ht="15" hidden="false" customHeight="false" outlineLevel="0" collapsed="false">
      <c r="A237" s="14" t="s">
        <v>790</v>
      </c>
      <c r="B237" s="15" t="s">
        <v>791</v>
      </c>
      <c r="C237" s="14" t="s">
        <v>56</v>
      </c>
      <c r="D237" s="14" t="s">
        <v>109</v>
      </c>
      <c r="E237" s="14" t="s">
        <v>102</v>
      </c>
      <c r="F237" s="15" t="s">
        <v>47</v>
      </c>
      <c r="G237" s="14" t="s">
        <v>41</v>
      </c>
      <c r="H237" s="16" t="n">
        <v>46440</v>
      </c>
      <c r="I237" s="16" t="n">
        <v>46451</v>
      </c>
      <c r="J237" s="16" t="n">
        <v>46472</v>
      </c>
      <c r="K237" s="16" t="n">
        <v>46486</v>
      </c>
      <c r="L237" s="16" t="n">
        <v>46500</v>
      </c>
      <c r="M237" s="16" t="n">
        <v>46507</v>
      </c>
      <c r="N237" s="17"/>
      <c r="O237" s="16" t="n">
        <f aca="false">IF(N237&lt;&gt;"",N237,M237)</f>
        <v>46507</v>
      </c>
      <c r="P237" s="18" t="s">
        <v>31</v>
      </c>
      <c r="Q237" s="19" t="s">
        <v>792</v>
      </c>
      <c r="R237" s="19"/>
      <c r="S237" s="14" t="str">
        <f aca="true">IF(AND(O237&lt;TODAY(),P237&lt;&gt;"Approved",P237&lt;&gt;"Live",P237&lt;&gt;"Not applicable"),"Overdue","")</f>
        <v/>
      </c>
      <c r="T237" s="14" t="str">
        <f aca="true">IF(S237="Overdue",TODAY()-O237,"")</f>
        <v/>
      </c>
    </row>
    <row r="238" customFormat="false" ht="15" hidden="false" customHeight="false" outlineLevel="0" collapsed="false">
      <c r="A238" s="14" t="s">
        <v>793</v>
      </c>
      <c r="B238" s="15" t="s">
        <v>794</v>
      </c>
      <c r="C238" s="14" t="s">
        <v>59</v>
      </c>
      <c r="D238" s="14" t="s">
        <v>148</v>
      </c>
      <c r="E238" s="14" t="s">
        <v>102</v>
      </c>
      <c r="F238" s="15" t="s">
        <v>50</v>
      </c>
      <c r="G238" s="14" t="s">
        <v>41</v>
      </c>
      <c r="H238" s="16" t="n">
        <v>46440</v>
      </c>
      <c r="I238" s="16" t="n">
        <v>46451</v>
      </c>
      <c r="J238" s="16" t="n">
        <v>46472</v>
      </c>
      <c r="K238" s="16" t="n">
        <v>46486</v>
      </c>
      <c r="L238" s="16" t="n">
        <v>46500</v>
      </c>
      <c r="M238" s="16" t="n">
        <v>46507</v>
      </c>
      <c r="N238" s="17"/>
      <c r="O238" s="16" t="n">
        <f aca="false">IF(N238&lt;&gt;"",N238,M238)</f>
        <v>46507</v>
      </c>
      <c r="P238" s="18" t="s">
        <v>31</v>
      </c>
      <c r="Q238" s="19" t="s">
        <v>795</v>
      </c>
      <c r="R238" s="19"/>
      <c r="S238" s="14" t="str">
        <f aca="true">IF(AND(O238&lt;TODAY(),P238&lt;&gt;"Approved",P238&lt;&gt;"Live",P238&lt;&gt;"Not applicable"),"Overdue","")</f>
        <v/>
      </c>
      <c r="T238" s="14" t="str">
        <f aca="true">IF(S238="Overdue",TODAY()-O238,"")</f>
        <v/>
      </c>
    </row>
    <row r="239" customFormat="false" ht="23.85" hidden="false" customHeight="false" outlineLevel="0" collapsed="false">
      <c r="A239" s="14" t="s">
        <v>796</v>
      </c>
      <c r="B239" s="15" t="s">
        <v>797</v>
      </c>
      <c r="C239" s="14" t="s">
        <v>59</v>
      </c>
      <c r="D239" s="14" t="s">
        <v>81</v>
      </c>
      <c r="E239" s="14" t="s">
        <v>102</v>
      </c>
      <c r="F239" s="15" t="s">
        <v>46</v>
      </c>
      <c r="G239" s="14" t="s">
        <v>41</v>
      </c>
      <c r="H239" s="16" t="n">
        <v>46440</v>
      </c>
      <c r="I239" s="16" t="n">
        <v>46451</v>
      </c>
      <c r="J239" s="16" t="n">
        <v>46472</v>
      </c>
      <c r="K239" s="16" t="n">
        <v>46486</v>
      </c>
      <c r="L239" s="16" t="n">
        <v>46500</v>
      </c>
      <c r="M239" s="16" t="n">
        <v>46507</v>
      </c>
      <c r="N239" s="17"/>
      <c r="O239" s="16" t="n">
        <f aca="false">IF(N239&lt;&gt;"",N239,M239)</f>
        <v>46507</v>
      </c>
      <c r="P239" s="18" t="s">
        <v>31</v>
      </c>
      <c r="Q239" s="19" t="s">
        <v>418</v>
      </c>
      <c r="R239" s="19"/>
      <c r="S239" s="14" t="str">
        <f aca="true">IF(AND(O239&lt;TODAY(),P239&lt;&gt;"Approved",P239&lt;&gt;"Live",P239&lt;&gt;"Not applicable"),"Overdue","")</f>
        <v/>
      </c>
      <c r="T239" s="14" t="str">
        <f aca="true">IF(S239="Overdue",TODAY()-O239,"")</f>
        <v/>
      </c>
    </row>
    <row r="240" customFormat="false" ht="23.85" hidden="false" customHeight="false" outlineLevel="0" collapsed="false">
      <c r="A240" s="14" t="s">
        <v>798</v>
      </c>
      <c r="B240" s="15" t="s">
        <v>799</v>
      </c>
      <c r="C240" s="14" t="s">
        <v>59</v>
      </c>
      <c r="D240" s="14" t="s">
        <v>148</v>
      </c>
      <c r="E240" s="14" t="s">
        <v>102</v>
      </c>
      <c r="F240" s="15" t="s">
        <v>50</v>
      </c>
      <c r="G240" s="14" t="s">
        <v>41</v>
      </c>
      <c r="H240" s="16" t="n">
        <v>46440</v>
      </c>
      <c r="I240" s="16" t="n">
        <v>46451</v>
      </c>
      <c r="J240" s="16" t="n">
        <v>46472</v>
      </c>
      <c r="K240" s="16" t="n">
        <v>46486</v>
      </c>
      <c r="L240" s="16" t="n">
        <v>46500</v>
      </c>
      <c r="M240" s="16" t="n">
        <v>46507</v>
      </c>
      <c r="N240" s="17"/>
      <c r="O240" s="16" t="n">
        <f aca="false">IF(N240&lt;&gt;"",N240,M240)</f>
        <v>46507</v>
      </c>
      <c r="P240" s="18" t="s">
        <v>31</v>
      </c>
      <c r="Q240" s="19" t="s">
        <v>800</v>
      </c>
      <c r="R240" s="19"/>
      <c r="S240" s="14" t="str">
        <f aca="true">IF(AND(O240&lt;TODAY(),P240&lt;&gt;"Approved",P240&lt;&gt;"Live",P240&lt;&gt;"Not applicable"),"Overdue","")</f>
        <v/>
      </c>
      <c r="T240" s="14" t="str">
        <f aca="true">IF(S240="Overdue",TODAY()-O240,"")</f>
        <v/>
      </c>
    </row>
    <row r="241" customFormat="false" ht="23.85" hidden="false" customHeight="false" outlineLevel="0" collapsed="false">
      <c r="A241" s="14" t="s">
        <v>801</v>
      </c>
      <c r="B241" s="15" t="s">
        <v>802</v>
      </c>
      <c r="C241" s="14" t="s">
        <v>59</v>
      </c>
      <c r="D241" s="14" t="s">
        <v>81</v>
      </c>
      <c r="E241" s="14" t="s">
        <v>102</v>
      </c>
      <c r="F241" s="15" t="s">
        <v>46</v>
      </c>
      <c r="G241" s="14" t="s">
        <v>41</v>
      </c>
      <c r="H241" s="16" t="n">
        <v>46440</v>
      </c>
      <c r="I241" s="16" t="n">
        <v>46451</v>
      </c>
      <c r="J241" s="16" t="n">
        <v>46472</v>
      </c>
      <c r="K241" s="16" t="n">
        <v>46486</v>
      </c>
      <c r="L241" s="16" t="n">
        <v>46500</v>
      </c>
      <c r="M241" s="16" t="n">
        <v>46507</v>
      </c>
      <c r="N241" s="17"/>
      <c r="O241" s="16" t="n">
        <f aca="false">IF(N241&lt;&gt;"",N241,M241)</f>
        <v>46507</v>
      </c>
      <c r="P241" s="18" t="s">
        <v>31</v>
      </c>
      <c r="Q241" s="19" t="s">
        <v>803</v>
      </c>
      <c r="R241" s="19"/>
      <c r="S241" s="14" t="str">
        <f aca="true">IF(AND(O241&lt;TODAY(),P241&lt;&gt;"Approved",P241&lt;&gt;"Live",P241&lt;&gt;"Not applicable"),"Overdue","")</f>
        <v/>
      </c>
      <c r="T241" s="14" t="str">
        <f aca="true">IF(S241="Overdue",TODAY()-O241,"")</f>
        <v/>
      </c>
    </row>
    <row r="242" customFormat="false" ht="23.85" hidden="false" customHeight="false" outlineLevel="0" collapsed="false">
      <c r="A242" s="14" t="s">
        <v>804</v>
      </c>
      <c r="B242" s="15" t="s">
        <v>805</v>
      </c>
      <c r="C242" s="14" t="s">
        <v>59</v>
      </c>
      <c r="D242" s="14" t="s">
        <v>81</v>
      </c>
      <c r="E242" s="14" t="s">
        <v>102</v>
      </c>
      <c r="F242" s="15" t="s">
        <v>46</v>
      </c>
      <c r="G242" s="14" t="s">
        <v>41</v>
      </c>
      <c r="H242" s="16" t="n">
        <v>46440</v>
      </c>
      <c r="I242" s="16" t="n">
        <v>46451</v>
      </c>
      <c r="J242" s="16" t="n">
        <v>46472</v>
      </c>
      <c r="K242" s="16" t="n">
        <v>46486</v>
      </c>
      <c r="L242" s="16" t="n">
        <v>46500</v>
      </c>
      <c r="M242" s="16" t="n">
        <v>46507</v>
      </c>
      <c r="N242" s="17"/>
      <c r="O242" s="16" t="n">
        <f aca="false">IF(N242&lt;&gt;"",N242,M242)</f>
        <v>46507</v>
      </c>
      <c r="P242" s="18" t="s">
        <v>31</v>
      </c>
      <c r="Q242" s="19" t="s">
        <v>806</v>
      </c>
      <c r="R242" s="19"/>
      <c r="S242" s="14" t="str">
        <f aca="true">IF(AND(O242&lt;TODAY(),P242&lt;&gt;"Approved",P242&lt;&gt;"Live",P242&lt;&gt;"Not applicable"),"Overdue","")</f>
        <v/>
      </c>
      <c r="T242" s="14" t="str">
        <f aca="true">IF(S242="Overdue",TODAY()-O242,"")</f>
        <v/>
      </c>
    </row>
    <row r="243" customFormat="false" ht="46.25" hidden="false" customHeight="false" outlineLevel="0" collapsed="false">
      <c r="A243" s="14" t="s">
        <v>807</v>
      </c>
      <c r="B243" s="15" t="s">
        <v>808</v>
      </c>
      <c r="C243" s="14" t="s">
        <v>55</v>
      </c>
      <c r="D243" s="14" t="s">
        <v>148</v>
      </c>
      <c r="E243" s="14" t="s">
        <v>102</v>
      </c>
      <c r="F243" s="15" t="s">
        <v>50</v>
      </c>
      <c r="G243" s="14" t="s">
        <v>41</v>
      </c>
      <c r="H243" s="16" t="n">
        <v>46447</v>
      </c>
      <c r="I243" s="16" t="n">
        <v>46458</v>
      </c>
      <c r="J243" s="16" t="n">
        <v>46479</v>
      </c>
      <c r="K243" s="16" t="n">
        <v>46493</v>
      </c>
      <c r="L243" s="16" t="n">
        <v>46507</v>
      </c>
      <c r="M243" s="16" t="n">
        <v>46514</v>
      </c>
      <c r="N243" s="17"/>
      <c r="O243" s="16" t="n">
        <f aca="false">IF(N243&lt;&gt;"",N243,M243)</f>
        <v>46514</v>
      </c>
      <c r="P243" s="18" t="s">
        <v>31</v>
      </c>
      <c r="Q243" s="19" t="s">
        <v>809</v>
      </c>
      <c r="R243" s="19"/>
      <c r="S243" s="14" t="str">
        <f aca="true">IF(AND(O243&lt;TODAY(),P243&lt;&gt;"Approved",P243&lt;&gt;"Live",P243&lt;&gt;"Not applicable"),"Overdue","")</f>
        <v/>
      </c>
      <c r="T243" s="14" t="str">
        <f aca="true">IF(S243="Overdue",TODAY()-O243,"")</f>
        <v/>
      </c>
    </row>
    <row r="244" customFormat="false" ht="57.45" hidden="false" customHeight="false" outlineLevel="0" collapsed="false">
      <c r="A244" s="14" t="s">
        <v>810</v>
      </c>
      <c r="B244" s="15" t="s">
        <v>811</v>
      </c>
      <c r="C244" s="14" t="s">
        <v>55</v>
      </c>
      <c r="D244" s="14" t="s">
        <v>148</v>
      </c>
      <c r="E244" s="14" t="s">
        <v>102</v>
      </c>
      <c r="F244" s="15" t="s">
        <v>50</v>
      </c>
      <c r="G244" s="14" t="s">
        <v>41</v>
      </c>
      <c r="H244" s="16" t="n">
        <v>46447</v>
      </c>
      <c r="I244" s="16" t="n">
        <v>46458</v>
      </c>
      <c r="J244" s="16" t="n">
        <v>46479</v>
      </c>
      <c r="K244" s="16" t="n">
        <v>46493</v>
      </c>
      <c r="L244" s="16" t="n">
        <v>46507</v>
      </c>
      <c r="M244" s="16" t="n">
        <v>46514</v>
      </c>
      <c r="N244" s="17"/>
      <c r="O244" s="16" t="n">
        <f aca="false">IF(N244&lt;&gt;"",N244,M244)</f>
        <v>46514</v>
      </c>
      <c r="P244" s="18" t="s">
        <v>31</v>
      </c>
      <c r="Q244" s="19" t="s">
        <v>812</v>
      </c>
      <c r="R244" s="19"/>
      <c r="S244" s="14" t="str">
        <f aca="true">IF(AND(O244&lt;TODAY(),P244&lt;&gt;"Approved",P244&lt;&gt;"Live",P244&lt;&gt;"Not applicable"),"Overdue","")</f>
        <v/>
      </c>
      <c r="T244" s="14" t="str">
        <f aca="true">IF(S244="Overdue",TODAY()-O244,"")</f>
        <v/>
      </c>
    </row>
    <row r="245" customFormat="false" ht="46.25" hidden="false" customHeight="false" outlineLevel="0" collapsed="false">
      <c r="A245" s="14" t="s">
        <v>813</v>
      </c>
      <c r="B245" s="15" t="s">
        <v>814</v>
      </c>
      <c r="C245" s="14" t="s">
        <v>55</v>
      </c>
      <c r="D245" s="14" t="s">
        <v>275</v>
      </c>
      <c r="E245" s="14" t="s">
        <v>102</v>
      </c>
      <c r="F245" s="15" t="s">
        <v>50</v>
      </c>
      <c r="G245" s="14" t="s">
        <v>41</v>
      </c>
      <c r="H245" s="16" t="n">
        <v>46447</v>
      </c>
      <c r="I245" s="16" t="n">
        <v>46458</v>
      </c>
      <c r="J245" s="16" t="n">
        <v>46479</v>
      </c>
      <c r="K245" s="16" t="n">
        <v>46493</v>
      </c>
      <c r="L245" s="16" t="n">
        <v>46507</v>
      </c>
      <c r="M245" s="16" t="n">
        <v>46514</v>
      </c>
      <c r="N245" s="17"/>
      <c r="O245" s="16" t="n">
        <f aca="false">IF(N245&lt;&gt;"",N245,M245)</f>
        <v>46514</v>
      </c>
      <c r="P245" s="18" t="s">
        <v>31</v>
      </c>
      <c r="Q245" s="19" t="s">
        <v>815</v>
      </c>
      <c r="R245" s="19"/>
      <c r="S245" s="14" t="str">
        <f aca="true">IF(AND(O245&lt;TODAY(),P245&lt;&gt;"Approved",P245&lt;&gt;"Live",P245&lt;&gt;"Not applicable"),"Overdue","")</f>
        <v/>
      </c>
      <c r="T245" s="14" t="str">
        <f aca="true">IF(S245="Overdue",TODAY()-O245,"")</f>
        <v/>
      </c>
    </row>
    <row r="246" customFormat="false" ht="35.05" hidden="false" customHeight="false" outlineLevel="0" collapsed="false">
      <c r="A246" s="14" t="s">
        <v>816</v>
      </c>
      <c r="B246" s="15" t="s">
        <v>817</v>
      </c>
      <c r="C246" s="14" t="s">
        <v>55</v>
      </c>
      <c r="D246" s="14" t="s">
        <v>275</v>
      </c>
      <c r="E246" s="14" t="s">
        <v>102</v>
      </c>
      <c r="F246" s="15" t="s">
        <v>50</v>
      </c>
      <c r="G246" s="14" t="s">
        <v>41</v>
      </c>
      <c r="H246" s="16" t="n">
        <v>46447</v>
      </c>
      <c r="I246" s="16" t="n">
        <v>46458</v>
      </c>
      <c r="J246" s="16" t="n">
        <v>46479</v>
      </c>
      <c r="K246" s="16" t="n">
        <v>46493</v>
      </c>
      <c r="L246" s="16" t="n">
        <v>46507</v>
      </c>
      <c r="M246" s="16" t="n">
        <v>46514</v>
      </c>
      <c r="N246" s="17"/>
      <c r="O246" s="16" t="n">
        <f aca="false">IF(N246&lt;&gt;"",N246,M246)</f>
        <v>46514</v>
      </c>
      <c r="P246" s="18" t="s">
        <v>31</v>
      </c>
      <c r="Q246" s="19" t="s">
        <v>818</v>
      </c>
      <c r="R246" s="19"/>
      <c r="S246" s="14" t="str">
        <f aca="true">IF(AND(O246&lt;TODAY(),P246&lt;&gt;"Approved",P246&lt;&gt;"Live",P246&lt;&gt;"Not applicable"),"Overdue","")</f>
        <v/>
      </c>
      <c r="T246" s="14" t="str">
        <f aca="true">IF(S246="Overdue",TODAY()-O246,"")</f>
        <v/>
      </c>
    </row>
    <row r="247" customFormat="false" ht="46.25" hidden="false" customHeight="false" outlineLevel="0" collapsed="false">
      <c r="A247" s="14" t="s">
        <v>819</v>
      </c>
      <c r="B247" s="15" t="s">
        <v>820</v>
      </c>
      <c r="C247" s="14" t="s">
        <v>55</v>
      </c>
      <c r="D247" s="14" t="s">
        <v>275</v>
      </c>
      <c r="E247" s="14" t="s">
        <v>102</v>
      </c>
      <c r="F247" s="15" t="s">
        <v>50</v>
      </c>
      <c r="G247" s="14" t="s">
        <v>41</v>
      </c>
      <c r="H247" s="16" t="n">
        <v>46447</v>
      </c>
      <c r="I247" s="16" t="n">
        <v>46458</v>
      </c>
      <c r="J247" s="16" t="n">
        <v>46479</v>
      </c>
      <c r="K247" s="16" t="n">
        <v>46493</v>
      </c>
      <c r="L247" s="16" t="n">
        <v>46507</v>
      </c>
      <c r="M247" s="16" t="n">
        <v>46514</v>
      </c>
      <c r="N247" s="17"/>
      <c r="O247" s="16" t="n">
        <f aca="false">IF(N247&lt;&gt;"",N247,M247)</f>
        <v>46514</v>
      </c>
      <c r="P247" s="18" t="s">
        <v>31</v>
      </c>
      <c r="Q247" s="19" t="s">
        <v>821</v>
      </c>
      <c r="R247" s="19"/>
      <c r="S247" s="14" t="str">
        <f aca="true">IF(AND(O247&lt;TODAY(),P247&lt;&gt;"Approved",P247&lt;&gt;"Live",P247&lt;&gt;"Not applicable"),"Overdue","")</f>
        <v/>
      </c>
      <c r="T247" s="14" t="str">
        <f aca="true">IF(S247="Overdue",TODAY()-O247,"")</f>
        <v/>
      </c>
    </row>
    <row r="248" customFormat="false" ht="23.85" hidden="false" customHeight="false" outlineLevel="0" collapsed="false">
      <c r="A248" s="14" t="s">
        <v>822</v>
      </c>
      <c r="B248" s="15" t="s">
        <v>823</v>
      </c>
      <c r="C248" s="14" t="s">
        <v>57</v>
      </c>
      <c r="D248" s="14" t="s">
        <v>170</v>
      </c>
      <c r="E248" s="14" t="s">
        <v>82</v>
      </c>
      <c r="F248" s="15" t="s">
        <v>51</v>
      </c>
      <c r="G248" s="14" t="s">
        <v>41</v>
      </c>
      <c r="H248" s="16" t="n">
        <v>46447</v>
      </c>
      <c r="I248" s="16" t="n">
        <v>46458</v>
      </c>
      <c r="J248" s="16" t="n">
        <v>46479</v>
      </c>
      <c r="K248" s="16" t="n">
        <v>46493</v>
      </c>
      <c r="L248" s="16" t="n">
        <v>46507</v>
      </c>
      <c r="M248" s="16" t="n">
        <v>46514</v>
      </c>
      <c r="N248" s="17"/>
      <c r="O248" s="16" t="n">
        <f aca="false">IF(N248&lt;&gt;"",N248,M248)</f>
        <v>46514</v>
      </c>
      <c r="P248" s="18" t="s">
        <v>31</v>
      </c>
      <c r="Q248" s="19" t="s">
        <v>824</v>
      </c>
      <c r="R248" s="19"/>
      <c r="S248" s="14" t="str">
        <f aca="true">IF(AND(O248&lt;TODAY(),P248&lt;&gt;"Approved",P248&lt;&gt;"Live",P248&lt;&gt;"Not applicable"),"Overdue","")</f>
        <v/>
      </c>
      <c r="T248" s="14" t="str">
        <f aca="true">IF(S248="Overdue",TODAY()-O248,"")</f>
        <v/>
      </c>
    </row>
    <row r="249" customFormat="false" ht="23.85" hidden="false" customHeight="false" outlineLevel="0" collapsed="false">
      <c r="A249" s="14" t="s">
        <v>825</v>
      </c>
      <c r="B249" s="15" t="s">
        <v>826</v>
      </c>
      <c r="C249" s="14" t="s">
        <v>57</v>
      </c>
      <c r="D249" s="14" t="s">
        <v>81</v>
      </c>
      <c r="E249" s="14" t="s">
        <v>82</v>
      </c>
      <c r="F249" s="15" t="s">
        <v>46</v>
      </c>
      <c r="G249" s="14" t="s">
        <v>41</v>
      </c>
      <c r="H249" s="16" t="n">
        <v>46447</v>
      </c>
      <c r="I249" s="16" t="n">
        <v>46458</v>
      </c>
      <c r="J249" s="16" t="n">
        <v>46479</v>
      </c>
      <c r="K249" s="16" t="n">
        <v>46493</v>
      </c>
      <c r="L249" s="16" t="n">
        <v>46507</v>
      </c>
      <c r="M249" s="16" t="n">
        <v>46514</v>
      </c>
      <c r="N249" s="17"/>
      <c r="O249" s="16" t="n">
        <f aca="false">IF(N249&lt;&gt;"",N249,M249)</f>
        <v>46514</v>
      </c>
      <c r="P249" s="18" t="s">
        <v>31</v>
      </c>
      <c r="Q249" s="19" t="s">
        <v>827</v>
      </c>
      <c r="R249" s="19"/>
      <c r="S249" s="14" t="str">
        <f aca="true">IF(AND(O249&lt;TODAY(),P249&lt;&gt;"Approved",P249&lt;&gt;"Live",P249&lt;&gt;"Not applicable"),"Overdue","")</f>
        <v/>
      </c>
      <c r="T249" s="14" t="str">
        <f aca="true">IF(S249="Overdue",TODAY()-O249,"")</f>
        <v/>
      </c>
    </row>
    <row r="250" customFormat="false" ht="23.85" hidden="false" customHeight="false" outlineLevel="0" collapsed="false">
      <c r="A250" s="14" t="s">
        <v>828</v>
      </c>
      <c r="B250" s="15" t="s">
        <v>829</v>
      </c>
      <c r="C250" s="14" t="s">
        <v>56</v>
      </c>
      <c r="D250" s="14" t="s">
        <v>81</v>
      </c>
      <c r="E250" s="14" t="s">
        <v>82</v>
      </c>
      <c r="F250" s="15" t="s">
        <v>46</v>
      </c>
      <c r="G250" s="14" t="s">
        <v>41</v>
      </c>
      <c r="H250" s="16" t="n">
        <v>46447</v>
      </c>
      <c r="I250" s="16" t="n">
        <v>46458</v>
      </c>
      <c r="J250" s="16" t="n">
        <v>46479</v>
      </c>
      <c r="K250" s="16" t="n">
        <v>46493</v>
      </c>
      <c r="L250" s="16" t="n">
        <v>46507</v>
      </c>
      <c r="M250" s="16" t="n">
        <v>46514</v>
      </c>
      <c r="N250" s="17"/>
      <c r="O250" s="16" t="n">
        <f aca="false">IF(N250&lt;&gt;"",N250,M250)</f>
        <v>46514</v>
      </c>
      <c r="P250" s="18" t="s">
        <v>31</v>
      </c>
      <c r="Q250" s="19" t="s">
        <v>830</v>
      </c>
      <c r="R250" s="19"/>
      <c r="S250" s="14" t="str">
        <f aca="true">IF(AND(O250&lt;TODAY(),P250&lt;&gt;"Approved",P250&lt;&gt;"Live",P250&lt;&gt;"Not applicable"),"Overdue","")</f>
        <v/>
      </c>
      <c r="T250" s="14" t="str">
        <f aca="true">IF(S250="Overdue",TODAY()-O250,"")</f>
        <v/>
      </c>
    </row>
    <row r="251" customFormat="false" ht="23.85" hidden="false" customHeight="false" outlineLevel="0" collapsed="false">
      <c r="A251" s="14" t="s">
        <v>831</v>
      </c>
      <c r="B251" s="15" t="s">
        <v>832</v>
      </c>
      <c r="C251" s="14" t="s">
        <v>57</v>
      </c>
      <c r="D251" s="14" t="s">
        <v>81</v>
      </c>
      <c r="E251" s="14" t="s">
        <v>82</v>
      </c>
      <c r="F251" s="15" t="s">
        <v>46</v>
      </c>
      <c r="G251" s="14" t="s">
        <v>41</v>
      </c>
      <c r="H251" s="16" t="n">
        <v>46447</v>
      </c>
      <c r="I251" s="16" t="n">
        <v>46458</v>
      </c>
      <c r="J251" s="16" t="n">
        <v>46479</v>
      </c>
      <c r="K251" s="16" t="n">
        <v>46493</v>
      </c>
      <c r="L251" s="16" t="n">
        <v>46507</v>
      </c>
      <c r="M251" s="16" t="n">
        <v>46514</v>
      </c>
      <c r="N251" s="17"/>
      <c r="O251" s="16" t="n">
        <f aca="false">IF(N251&lt;&gt;"",N251,M251)</f>
        <v>46514</v>
      </c>
      <c r="P251" s="18" t="s">
        <v>31</v>
      </c>
      <c r="Q251" s="19" t="s">
        <v>833</v>
      </c>
      <c r="R251" s="19"/>
      <c r="S251" s="14" t="str">
        <f aca="true">IF(AND(O251&lt;TODAY(),P251&lt;&gt;"Approved",P251&lt;&gt;"Live",P251&lt;&gt;"Not applicable"),"Overdue","")</f>
        <v/>
      </c>
      <c r="T251" s="14" t="str">
        <f aca="true">IF(S251="Overdue",TODAY()-O251,"")</f>
        <v/>
      </c>
    </row>
    <row r="252" customFormat="false" ht="23.85" hidden="false" customHeight="false" outlineLevel="0" collapsed="false">
      <c r="A252" s="14" t="s">
        <v>834</v>
      </c>
      <c r="B252" s="15" t="s">
        <v>835</v>
      </c>
      <c r="C252" s="14" t="s">
        <v>57</v>
      </c>
      <c r="D252" s="14" t="s">
        <v>81</v>
      </c>
      <c r="E252" s="14" t="s">
        <v>116</v>
      </c>
      <c r="F252" s="15" t="s">
        <v>46</v>
      </c>
      <c r="G252" s="14" t="s">
        <v>41</v>
      </c>
      <c r="H252" s="16" t="n">
        <v>46447</v>
      </c>
      <c r="I252" s="16" t="n">
        <v>46458</v>
      </c>
      <c r="J252" s="16" t="n">
        <v>46479</v>
      </c>
      <c r="K252" s="16" t="n">
        <v>46493</v>
      </c>
      <c r="L252" s="16" t="n">
        <v>46507</v>
      </c>
      <c r="M252" s="16" t="n">
        <v>46514</v>
      </c>
      <c r="N252" s="17"/>
      <c r="O252" s="16" t="n">
        <f aca="false">IF(N252&lt;&gt;"",N252,M252)</f>
        <v>46514</v>
      </c>
      <c r="P252" s="18" t="s">
        <v>31</v>
      </c>
      <c r="Q252" s="19" t="s">
        <v>836</v>
      </c>
      <c r="R252" s="19"/>
      <c r="S252" s="14" t="str">
        <f aca="true">IF(AND(O252&lt;TODAY(),P252&lt;&gt;"Approved",P252&lt;&gt;"Live",P252&lt;&gt;"Not applicable"),"Overdue","")</f>
        <v/>
      </c>
      <c r="T252" s="14" t="str">
        <f aca="true">IF(S252="Overdue",TODAY()-O252,"")</f>
        <v/>
      </c>
    </row>
    <row r="253" customFormat="false" ht="35.05" hidden="false" customHeight="false" outlineLevel="0" collapsed="false">
      <c r="A253" s="14" t="s">
        <v>837</v>
      </c>
      <c r="B253" s="15" t="s">
        <v>838</v>
      </c>
      <c r="C253" s="14" t="s">
        <v>57</v>
      </c>
      <c r="D253" s="14" t="s">
        <v>81</v>
      </c>
      <c r="E253" s="14" t="s">
        <v>116</v>
      </c>
      <c r="F253" s="15" t="s">
        <v>46</v>
      </c>
      <c r="G253" s="14" t="s">
        <v>41</v>
      </c>
      <c r="H253" s="16" t="n">
        <v>46447</v>
      </c>
      <c r="I253" s="16" t="n">
        <v>46458</v>
      </c>
      <c r="J253" s="16" t="n">
        <v>46479</v>
      </c>
      <c r="K253" s="16" t="n">
        <v>46493</v>
      </c>
      <c r="L253" s="16" t="n">
        <v>46507</v>
      </c>
      <c r="M253" s="16" t="n">
        <v>46514</v>
      </c>
      <c r="N253" s="17"/>
      <c r="O253" s="16" t="n">
        <f aca="false">IF(N253&lt;&gt;"",N253,M253)</f>
        <v>46514</v>
      </c>
      <c r="P253" s="18" t="s">
        <v>31</v>
      </c>
      <c r="Q253" s="19" t="s">
        <v>839</v>
      </c>
      <c r="R253" s="19"/>
      <c r="S253" s="14" t="str">
        <f aca="true">IF(AND(O253&lt;TODAY(),P253&lt;&gt;"Approved",P253&lt;&gt;"Live",P253&lt;&gt;"Not applicable"),"Overdue","")</f>
        <v/>
      </c>
      <c r="T253" s="14" t="str">
        <f aca="true">IF(S253="Overdue",TODAY()-O253,"")</f>
        <v/>
      </c>
    </row>
    <row r="254" customFormat="false" ht="23.85" hidden="false" customHeight="false" outlineLevel="0" collapsed="false">
      <c r="A254" s="14" t="s">
        <v>840</v>
      </c>
      <c r="B254" s="15" t="s">
        <v>841</v>
      </c>
      <c r="C254" s="14" t="s">
        <v>57</v>
      </c>
      <c r="D254" s="14" t="s">
        <v>81</v>
      </c>
      <c r="E254" s="14" t="s">
        <v>116</v>
      </c>
      <c r="F254" s="15" t="s">
        <v>46</v>
      </c>
      <c r="G254" s="14" t="s">
        <v>41</v>
      </c>
      <c r="H254" s="16" t="n">
        <v>46447</v>
      </c>
      <c r="I254" s="16" t="n">
        <v>46458</v>
      </c>
      <c r="J254" s="16" t="n">
        <v>46479</v>
      </c>
      <c r="K254" s="16" t="n">
        <v>46493</v>
      </c>
      <c r="L254" s="16" t="n">
        <v>46507</v>
      </c>
      <c r="M254" s="16" t="n">
        <v>46514</v>
      </c>
      <c r="N254" s="17"/>
      <c r="O254" s="16" t="n">
        <f aca="false">IF(N254&lt;&gt;"",N254,M254)</f>
        <v>46514</v>
      </c>
      <c r="P254" s="18" t="s">
        <v>31</v>
      </c>
      <c r="Q254" s="19" t="s">
        <v>842</v>
      </c>
      <c r="R254" s="19"/>
      <c r="S254" s="14" t="str">
        <f aca="true">IF(AND(O254&lt;TODAY(),P254&lt;&gt;"Approved",P254&lt;&gt;"Live",P254&lt;&gt;"Not applicable"),"Overdue","")</f>
        <v/>
      </c>
      <c r="T254" s="14" t="str">
        <f aca="true">IF(S254="Overdue",TODAY()-O254,"")</f>
        <v/>
      </c>
    </row>
    <row r="255" customFormat="false" ht="23.85" hidden="false" customHeight="false" outlineLevel="0" collapsed="false">
      <c r="A255" s="14" t="s">
        <v>843</v>
      </c>
      <c r="B255" s="15" t="s">
        <v>844</v>
      </c>
      <c r="C255" s="14" t="s">
        <v>57</v>
      </c>
      <c r="D255" s="14" t="s">
        <v>81</v>
      </c>
      <c r="E255" s="14" t="s">
        <v>116</v>
      </c>
      <c r="F255" s="15" t="s">
        <v>46</v>
      </c>
      <c r="G255" s="14" t="s">
        <v>41</v>
      </c>
      <c r="H255" s="16" t="n">
        <v>46447</v>
      </c>
      <c r="I255" s="16" t="n">
        <v>46458</v>
      </c>
      <c r="J255" s="16" t="n">
        <v>46479</v>
      </c>
      <c r="K255" s="16" t="n">
        <v>46493</v>
      </c>
      <c r="L255" s="16" t="n">
        <v>46507</v>
      </c>
      <c r="M255" s="16" t="n">
        <v>46514</v>
      </c>
      <c r="N255" s="17"/>
      <c r="O255" s="16" t="n">
        <f aca="false">IF(N255&lt;&gt;"",N255,M255)</f>
        <v>46514</v>
      </c>
      <c r="P255" s="18" t="s">
        <v>31</v>
      </c>
      <c r="Q255" s="19" t="s">
        <v>845</v>
      </c>
      <c r="R255" s="19"/>
      <c r="S255" s="14" t="str">
        <f aca="true">IF(AND(O255&lt;TODAY(),P255&lt;&gt;"Approved",P255&lt;&gt;"Live",P255&lt;&gt;"Not applicable"),"Overdue","")</f>
        <v/>
      </c>
      <c r="T255" s="14" t="str">
        <f aca="true">IF(S255="Overdue",TODAY()-O255,"")</f>
        <v/>
      </c>
    </row>
    <row r="256" customFormat="false" ht="23.85" hidden="false" customHeight="false" outlineLevel="0" collapsed="false">
      <c r="A256" s="14" t="s">
        <v>846</v>
      </c>
      <c r="B256" s="15" t="s">
        <v>847</v>
      </c>
      <c r="C256" s="14" t="s">
        <v>56</v>
      </c>
      <c r="D256" s="14" t="s">
        <v>81</v>
      </c>
      <c r="E256" s="14" t="s">
        <v>116</v>
      </c>
      <c r="F256" s="15" t="s">
        <v>46</v>
      </c>
      <c r="G256" s="14" t="s">
        <v>41</v>
      </c>
      <c r="H256" s="16" t="n">
        <v>46447</v>
      </c>
      <c r="I256" s="16" t="n">
        <v>46458</v>
      </c>
      <c r="J256" s="16" t="n">
        <v>46479</v>
      </c>
      <c r="K256" s="16" t="n">
        <v>46493</v>
      </c>
      <c r="L256" s="16" t="n">
        <v>46507</v>
      </c>
      <c r="M256" s="16" t="n">
        <v>46514</v>
      </c>
      <c r="N256" s="17"/>
      <c r="O256" s="16" t="n">
        <f aca="false">IF(N256&lt;&gt;"",N256,M256)</f>
        <v>46514</v>
      </c>
      <c r="P256" s="18" t="s">
        <v>31</v>
      </c>
      <c r="Q256" s="19" t="s">
        <v>848</v>
      </c>
      <c r="R256" s="19"/>
      <c r="S256" s="14" t="str">
        <f aca="true">IF(AND(O256&lt;TODAY(),P256&lt;&gt;"Approved",P256&lt;&gt;"Live",P256&lt;&gt;"Not applicable"),"Overdue","")</f>
        <v/>
      </c>
      <c r="T256" s="14" t="str">
        <f aca="true">IF(S256="Overdue",TODAY()-O256,"")</f>
        <v/>
      </c>
    </row>
    <row r="257" customFormat="false" ht="23.85" hidden="false" customHeight="false" outlineLevel="0" collapsed="false">
      <c r="A257" s="14" t="s">
        <v>849</v>
      </c>
      <c r="B257" s="15" t="s">
        <v>850</v>
      </c>
      <c r="C257" s="14" t="s">
        <v>57</v>
      </c>
      <c r="D257" s="14" t="s">
        <v>81</v>
      </c>
      <c r="E257" s="14" t="s">
        <v>116</v>
      </c>
      <c r="F257" s="15" t="s">
        <v>46</v>
      </c>
      <c r="G257" s="14" t="s">
        <v>41</v>
      </c>
      <c r="H257" s="16" t="n">
        <v>46447</v>
      </c>
      <c r="I257" s="16" t="n">
        <v>46458</v>
      </c>
      <c r="J257" s="16" t="n">
        <v>46479</v>
      </c>
      <c r="K257" s="16" t="n">
        <v>46493</v>
      </c>
      <c r="L257" s="16" t="n">
        <v>46507</v>
      </c>
      <c r="M257" s="16" t="n">
        <v>46514</v>
      </c>
      <c r="N257" s="17"/>
      <c r="O257" s="16" t="n">
        <f aca="false">IF(N257&lt;&gt;"",N257,M257)</f>
        <v>46514</v>
      </c>
      <c r="P257" s="18" t="s">
        <v>31</v>
      </c>
      <c r="Q257" s="19" t="s">
        <v>851</v>
      </c>
      <c r="R257" s="19"/>
      <c r="S257" s="14" t="str">
        <f aca="true">IF(AND(O257&lt;TODAY(),P257&lt;&gt;"Approved",P257&lt;&gt;"Live",P257&lt;&gt;"Not applicable"),"Overdue","")</f>
        <v/>
      </c>
      <c r="T257" s="14" t="str">
        <f aca="true">IF(S257="Overdue",TODAY()-O257,"")</f>
        <v/>
      </c>
    </row>
    <row r="258" customFormat="false" ht="23.85" hidden="false" customHeight="false" outlineLevel="0" collapsed="false">
      <c r="A258" s="14" t="s">
        <v>852</v>
      </c>
      <c r="B258" s="15" t="s">
        <v>853</v>
      </c>
      <c r="C258" s="14" t="s">
        <v>56</v>
      </c>
      <c r="D258" s="14" t="s">
        <v>186</v>
      </c>
      <c r="E258" s="14" t="s">
        <v>102</v>
      </c>
      <c r="F258" s="15" t="s">
        <v>51</v>
      </c>
      <c r="G258" s="14" t="s">
        <v>41</v>
      </c>
      <c r="H258" s="16" t="n">
        <v>46447</v>
      </c>
      <c r="I258" s="16" t="n">
        <v>46458</v>
      </c>
      <c r="J258" s="16" t="n">
        <v>46479</v>
      </c>
      <c r="K258" s="16" t="n">
        <v>46493</v>
      </c>
      <c r="L258" s="16" t="n">
        <v>46507</v>
      </c>
      <c r="M258" s="16" t="n">
        <v>46514</v>
      </c>
      <c r="N258" s="17"/>
      <c r="O258" s="16" t="n">
        <f aca="false">IF(N258&lt;&gt;"",N258,M258)</f>
        <v>46514</v>
      </c>
      <c r="P258" s="18" t="s">
        <v>31</v>
      </c>
      <c r="Q258" s="19" t="s">
        <v>854</v>
      </c>
      <c r="R258" s="19"/>
      <c r="S258" s="14" t="str">
        <f aca="true">IF(AND(O258&lt;TODAY(),P258&lt;&gt;"Approved",P258&lt;&gt;"Live",P258&lt;&gt;"Not applicable"),"Overdue","")</f>
        <v/>
      </c>
      <c r="T258" s="14" t="str">
        <f aca="true">IF(S258="Overdue",TODAY()-O258,"")</f>
        <v/>
      </c>
    </row>
    <row r="259" customFormat="false" ht="15" hidden="false" customHeight="false" outlineLevel="0" collapsed="false">
      <c r="A259" s="14" t="s">
        <v>855</v>
      </c>
      <c r="B259" s="15" t="s">
        <v>856</v>
      </c>
      <c r="C259" s="14" t="s">
        <v>57</v>
      </c>
      <c r="D259" s="14" t="s">
        <v>170</v>
      </c>
      <c r="E259" s="14" t="s">
        <v>102</v>
      </c>
      <c r="F259" s="15" t="s">
        <v>51</v>
      </c>
      <c r="G259" s="14" t="s">
        <v>41</v>
      </c>
      <c r="H259" s="16" t="n">
        <v>46447</v>
      </c>
      <c r="I259" s="16" t="n">
        <v>46458</v>
      </c>
      <c r="J259" s="16" t="n">
        <v>46479</v>
      </c>
      <c r="K259" s="16" t="n">
        <v>46493</v>
      </c>
      <c r="L259" s="16" t="n">
        <v>46507</v>
      </c>
      <c r="M259" s="16" t="n">
        <v>46514</v>
      </c>
      <c r="N259" s="17"/>
      <c r="O259" s="16" t="n">
        <f aca="false">IF(N259&lt;&gt;"",N259,M259)</f>
        <v>46514</v>
      </c>
      <c r="P259" s="18" t="s">
        <v>31</v>
      </c>
      <c r="Q259" s="19" t="s">
        <v>857</v>
      </c>
      <c r="R259" s="19"/>
      <c r="S259" s="14" t="str">
        <f aca="true">IF(AND(O259&lt;TODAY(),P259&lt;&gt;"Approved",P259&lt;&gt;"Live",P259&lt;&gt;"Not applicable"),"Overdue","")</f>
        <v/>
      </c>
      <c r="T259" s="14" t="str">
        <f aca="true">IF(S259="Overdue",TODAY()-O259,"")</f>
        <v/>
      </c>
    </row>
    <row r="260" customFormat="false" ht="23.85" hidden="false" customHeight="false" outlineLevel="0" collapsed="false">
      <c r="A260" s="14" t="s">
        <v>858</v>
      </c>
      <c r="B260" s="15" t="s">
        <v>859</v>
      </c>
      <c r="C260" s="14" t="s">
        <v>57</v>
      </c>
      <c r="D260" s="14" t="s">
        <v>282</v>
      </c>
      <c r="E260" s="14" t="s">
        <v>102</v>
      </c>
      <c r="F260" s="15" t="s">
        <v>49</v>
      </c>
      <c r="G260" s="14" t="s">
        <v>41</v>
      </c>
      <c r="H260" s="16" t="n">
        <v>46447</v>
      </c>
      <c r="I260" s="16" t="n">
        <v>46458</v>
      </c>
      <c r="J260" s="16" t="n">
        <v>46479</v>
      </c>
      <c r="K260" s="16" t="n">
        <v>46493</v>
      </c>
      <c r="L260" s="16" t="n">
        <v>46507</v>
      </c>
      <c r="M260" s="16" t="n">
        <v>46514</v>
      </c>
      <c r="N260" s="17"/>
      <c r="O260" s="16" t="n">
        <f aca="false">IF(N260&lt;&gt;"",N260,M260)</f>
        <v>46514</v>
      </c>
      <c r="P260" s="18" t="s">
        <v>31</v>
      </c>
      <c r="Q260" s="19" t="s">
        <v>860</v>
      </c>
      <c r="R260" s="19"/>
      <c r="S260" s="14" t="str">
        <f aca="true">IF(AND(O260&lt;TODAY(),P260&lt;&gt;"Approved",P260&lt;&gt;"Live",P260&lt;&gt;"Not applicable"),"Overdue","")</f>
        <v/>
      </c>
      <c r="T260" s="14" t="str">
        <f aca="true">IF(S260="Overdue",TODAY()-O260,"")</f>
        <v/>
      </c>
    </row>
    <row r="261" customFormat="false" ht="15" hidden="false" customHeight="false" outlineLevel="0" collapsed="false">
      <c r="A261" s="14" t="s">
        <v>861</v>
      </c>
      <c r="B261" s="15" t="s">
        <v>862</v>
      </c>
      <c r="C261" s="14" t="s">
        <v>56</v>
      </c>
      <c r="D261" s="14" t="s">
        <v>282</v>
      </c>
      <c r="E261" s="14" t="s">
        <v>102</v>
      </c>
      <c r="F261" s="15" t="s">
        <v>49</v>
      </c>
      <c r="G261" s="14" t="s">
        <v>41</v>
      </c>
      <c r="H261" s="16" t="n">
        <v>46447</v>
      </c>
      <c r="I261" s="16" t="n">
        <v>46458</v>
      </c>
      <c r="J261" s="16" t="n">
        <v>46479</v>
      </c>
      <c r="K261" s="16" t="n">
        <v>46493</v>
      </c>
      <c r="L261" s="16" t="n">
        <v>46507</v>
      </c>
      <c r="M261" s="16" t="n">
        <v>46514</v>
      </c>
      <c r="N261" s="17"/>
      <c r="O261" s="16" t="n">
        <f aca="false">IF(N261&lt;&gt;"",N261,M261)</f>
        <v>46514</v>
      </c>
      <c r="P261" s="18" t="s">
        <v>31</v>
      </c>
      <c r="Q261" s="19" t="s">
        <v>863</v>
      </c>
      <c r="R261" s="19"/>
      <c r="S261" s="14" t="str">
        <f aca="true">IF(AND(O261&lt;TODAY(),P261&lt;&gt;"Approved",P261&lt;&gt;"Live",P261&lt;&gt;"Not applicable"),"Overdue","")</f>
        <v/>
      </c>
      <c r="T261" s="14" t="str">
        <f aca="true">IF(S261="Overdue",TODAY()-O261,"")</f>
        <v/>
      </c>
    </row>
    <row r="262" customFormat="false" ht="23.85" hidden="false" customHeight="false" outlineLevel="0" collapsed="false">
      <c r="A262" s="14" t="s">
        <v>864</v>
      </c>
      <c r="B262" s="15" t="s">
        <v>865</v>
      </c>
      <c r="C262" s="14" t="s">
        <v>56</v>
      </c>
      <c r="D262" s="14" t="s">
        <v>126</v>
      </c>
      <c r="E262" s="14" t="s">
        <v>102</v>
      </c>
      <c r="F262" s="15" t="s">
        <v>49</v>
      </c>
      <c r="G262" s="14" t="s">
        <v>41</v>
      </c>
      <c r="H262" s="16" t="n">
        <v>46447</v>
      </c>
      <c r="I262" s="16" t="n">
        <v>46458</v>
      </c>
      <c r="J262" s="16" t="n">
        <v>46479</v>
      </c>
      <c r="K262" s="16" t="n">
        <v>46493</v>
      </c>
      <c r="L262" s="16" t="n">
        <v>46507</v>
      </c>
      <c r="M262" s="16" t="n">
        <v>46514</v>
      </c>
      <c r="N262" s="17"/>
      <c r="O262" s="16" t="n">
        <f aca="false">IF(N262&lt;&gt;"",N262,M262)</f>
        <v>46514</v>
      </c>
      <c r="P262" s="18" t="s">
        <v>31</v>
      </c>
      <c r="Q262" s="19" t="s">
        <v>866</v>
      </c>
      <c r="R262" s="19"/>
      <c r="S262" s="14" t="str">
        <f aca="true">IF(AND(O262&lt;TODAY(),P262&lt;&gt;"Approved",P262&lt;&gt;"Live",P262&lt;&gt;"Not applicable"),"Overdue","")</f>
        <v/>
      </c>
      <c r="T262" s="14" t="str">
        <f aca="true">IF(S262="Overdue",TODAY()-O262,"")</f>
        <v/>
      </c>
    </row>
    <row r="263" customFormat="false" ht="23.85" hidden="false" customHeight="false" outlineLevel="0" collapsed="false">
      <c r="A263" s="14" t="s">
        <v>867</v>
      </c>
      <c r="B263" s="15" t="s">
        <v>868</v>
      </c>
      <c r="C263" s="14" t="s">
        <v>56</v>
      </c>
      <c r="D263" s="14" t="s">
        <v>232</v>
      </c>
      <c r="E263" s="14" t="s">
        <v>102</v>
      </c>
      <c r="F263" s="15" t="s">
        <v>49</v>
      </c>
      <c r="G263" s="14" t="s">
        <v>41</v>
      </c>
      <c r="H263" s="16" t="n">
        <v>46447</v>
      </c>
      <c r="I263" s="16" t="n">
        <v>46458</v>
      </c>
      <c r="J263" s="16" t="n">
        <v>46479</v>
      </c>
      <c r="K263" s="16" t="n">
        <v>46493</v>
      </c>
      <c r="L263" s="16" t="n">
        <v>46507</v>
      </c>
      <c r="M263" s="16" t="n">
        <v>46514</v>
      </c>
      <c r="N263" s="17"/>
      <c r="O263" s="16" t="n">
        <f aca="false">IF(N263&lt;&gt;"",N263,M263)</f>
        <v>46514</v>
      </c>
      <c r="P263" s="18" t="s">
        <v>31</v>
      </c>
      <c r="Q263" s="19" t="s">
        <v>869</v>
      </c>
      <c r="R263" s="19"/>
      <c r="S263" s="14" t="str">
        <f aca="true">IF(AND(O263&lt;TODAY(),P263&lt;&gt;"Approved",P263&lt;&gt;"Live",P263&lt;&gt;"Not applicable"),"Overdue","")</f>
        <v/>
      </c>
      <c r="T263" s="14" t="str">
        <f aca="true">IF(S263="Overdue",TODAY()-O263,"")</f>
        <v/>
      </c>
    </row>
    <row r="264" customFormat="false" ht="23.85" hidden="false" customHeight="false" outlineLevel="0" collapsed="false">
      <c r="A264" s="14" t="s">
        <v>870</v>
      </c>
      <c r="B264" s="15" t="s">
        <v>871</v>
      </c>
      <c r="C264" s="14" t="s">
        <v>56</v>
      </c>
      <c r="D264" s="14" t="s">
        <v>282</v>
      </c>
      <c r="E264" s="14" t="s">
        <v>102</v>
      </c>
      <c r="F264" s="15" t="s">
        <v>49</v>
      </c>
      <c r="G264" s="14" t="s">
        <v>41</v>
      </c>
      <c r="H264" s="16" t="n">
        <v>46447</v>
      </c>
      <c r="I264" s="16" t="n">
        <v>46458</v>
      </c>
      <c r="J264" s="16" t="n">
        <v>46479</v>
      </c>
      <c r="K264" s="16" t="n">
        <v>46493</v>
      </c>
      <c r="L264" s="16" t="n">
        <v>46507</v>
      </c>
      <c r="M264" s="16" t="n">
        <v>46514</v>
      </c>
      <c r="N264" s="17"/>
      <c r="O264" s="16" t="n">
        <f aca="false">IF(N264&lt;&gt;"",N264,M264)</f>
        <v>46514</v>
      </c>
      <c r="P264" s="18" t="s">
        <v>31</v>
      </c>
      <c r="Q264" s="19" t="s">
        <v>872</v>
      </c>
      <c r="R264" s="19"/>
      <c r="S264" s="14" t="str">
        <f aca="true">IF(AND(O264&lt;TODAY(),P264&lt;&gt;"Approved",P264&lt;&gt;"Live",P264&lt;&gt;"Not applicable"),"Overdue","")</f>
        <v/>
      </c>
      <c r="T264" s="14" t="str">
        <f aca="true">IF(S264="Overdue",TODAY()-O264,"")</f>
        <v/>
      </c>
    </row>
    <row r="265" customFormat="false" ht="23.85" hidden="false" customHeight="false" outlineLevel="0" collapsed="false">
      <c r="A265" s="14" t="s">
        <v>873</v>
      </c>
      <c r="B265" s="15" t="s">
        <v>874</v>
      </c>
      <c r="C265" s="14" t="s">
        <v>57</v>
      </c>
      <c r="D265" s="14" t="s">
        <v>170</v>
      </c>
      <c r="E265" s="14" t="s">
        <v>102</v>
      </c>
      <c r="F265" s="15" t="s">
        <v>51</v>
      </c>
      <c r="G265" s="14" t="s">
        <v>41</v>
      </c>
      <c r="H265" s="16" t="n">
        <v>46447</v>
      </c>
      <c r="I265" s="16" t="n">
        <v>46458</v>
      </c>
      <c r="J265" s="16" t="n">
        <v>46479</v>
      </c>
      <c r="K265" s="16" t="n">
        <v>46493</v>
      </c>
      <c r="L265" s="16" t="n">
        <v>46507</v>
      </c>
      <c r="M265" s="16" t="n">
        <v>46514</v>
      </c>
      <c r="N265" s="17"/>
      <c r="O265" s="16" t="n">
        <f aca="false">IF(N265&lt;&gt;"",N265,M265)</f>
        <v>46514</v>
      </c>
      <c r="P265" s="18" t="s">
        <v>31</v>
      </c>
      <c r="Q265" s="19" t="s">
        <v>875</v>
      </c>
      <c r="R265" s="19"/>
      <c r="S265" s="14" t="str">
        <f aca="true">IF(AND(O265&lt;TODAY(),P265&lt;&gt;"Approved",P265&lt;&gt;"Live",P265&lt;&gt;"Not applicable"),"Overdue","")</f>
        <v/>
      </c>
      <c r="T265" s="14" t="str">
        <f aca="true">IF(S265="Overdue",TODAY()-O265,"")</f>
        <v/>
      </c>
    </row>
    <row r="266" customFormat="false" ht="23.85" hidden="false" customHeight="false" outlineLevel="0" collapsed="false">
      <c r="A266" s="14" t="s">
        <v>876</v>
      </c>
      <c r="B266" s="15" t="s">
        <v>877</v>
      </c>
      <c r="C266" s="14" t="s">
        <v>57</v>
      </c>
      <c r="D266" s="14" t="s">
        <v>282</v>
      </c>
      <c r="E266" s="14" t="s">
        <v>102</v>
      </c>
      <c r="F266" s="15" t="s">
        <v>49</v>
      </c>
      <c r="G266" s="14" t="s">
        <v>41</v>
      </c>
      <c r="H266" s="16" t="n">
        <v>46447</v>
      </c>
      <c r="I266" s="16" t="n">
        <v>46458</v>
      </c>
      <c r="J266" s="16" t="n">
        <v>46479</v>
      </c>
      <c r="K266" s="16" t="n">
        <v>46493</v>
      </c>
      <c r="L266" s="16" t="n">
        <v>46507</v>
      </c>
      <c r="M266" s="16" t="n">
        <v>46514</v>
      </c>
      <c r="N266" s="17"/>
      <c r="O266" s="16" t="n">
        <f aca="false">IF(N266&lt;&gt;"",N266,M266)</f>
        <v>46514</v>
      </c>
      <c r="P266" s="18" t="s">
        <v>31</v>
      </c>
      <c r="Q266" s="19" t="s">
        <v>298</v>
      </c>
      <c r="R266" s="19"/>
      <c r="S266" s="14" t="str">
        <f aca="true">IF(AND(O266&lt;TODAY(),P266&lt;&gt;"Approved",P266&lt;&gt;"Live",P266&lt;&gt;"Not applicable"),"Overdue","")</f>
        <v/>
      </c>
      <c r="T266" s="14" t="str">
        <f aca="true">IF(S266="Overdue",TODAY()-O266,"")</f>
        <v/>
      </c>
    </row>
    <row r="267" customFormat="false" ht="23.85" hidden="false" customHeight="false" outlineLevel="0" collapsed="false">
      <c r="A267" s="14" t="s">
        <v>878</v>
      </c>
      <c r="B267" s="15" t="s">
        <v>879</v>
      </c>
      <c r="C267" s="14" t="s">
        <v>57</v>
      </c>
      <c r="D267" s="14" t="s">
        <v>109</v>
      </c>
      <c r="E267" s="14" t="s">
        <v>102</v>
      </c>
      <c r="F267" s="15" t="s">
        <v>47</v>
      </c>
      <c r="G267" s="14" t="s">
        <v>41</v>
      </c>
      <c r="H267" s="16" t="n">
        <v>46447</v>
      </c>
      <c r="I267" s="16" t="n">
        <v>46458</v>
      </c>
      <c r="J267" s="16" t="n">
        <v>46479</v>
      </c>
      <c r="K267" s="16" t="n">
        <v>46493</v>
      </c>
      <c r="L267" s="16" t="n">
        <v>46507</v>
      </c>
      <c r="M267" s="16" t="n">
        <v>46514</v>
      </c>
      <c r="N267" s="17"/>
      <c r="O267" s="16" t="n">
        <f aca="false">IF(N267&lt;&gt;"",N267,M267)</f>
        <v>46514</v>
      </c>
      <c r="P267" s="18" t="s">
        <v>31</v>
      </c>
      <c r="Q267" s="19" t="s">
        <v>481</v>
      </c>
      <c r="R267" s="19"/>
      <c r="S267" s="14" t="str">
        <f aca="true">IF(AND(O267&lt;TODAY(),P267&lt;&gt;"Approved",P267&lt;&gt;"Live",P267&lt;&gt;"Not applicable"),"Overdue","")</f>
        <v/>
      </c>
      <c r="T267" s="14" t="str">
        <f aca="true">IF(S267="Overdue",TODAY()-O267,"")</f>
        <v/>
      </c>
    </row>
    <row r="268" customFormat="false" ht="23.85" hidden="false" customHeight="false" outlineLevel="0" collapsed="false">
      <c r="A268" s="14" t="s">
        <v>880</v>
      </c>
      <c r="B268" s="15" t="s">
        <v>881</v>
      </c>
      <c r="C268" s="14" t="s">
        <v>57</v>
      </c>
      <c r="D268" s="14" t="s">
        <v>109</v>
      </c>
      <c r="E268" s="14" t="s">
        <v>102</v>
      </c>
      <c r="F268" s="15" t="s">
        <v>47</v>
      </c>
      <c r="G268" s="14" t="s">
        <v>41</v>
      </c>
      <c r="H268" s="16" t="n">
        <v>46447</v>
      </c>
      <c r="I268" s="16" t="n">
        <v>46458</v>
      </c>
      <c r="J268" s="16" t="n">
        <v>46479</v>
      </c>
      <c r="K268" s="16" t="n">
        <v>46493</v>
      </c>
      <c r="L268" s="16" t="n">
        <v>46507</v>
      </c>
      <c r="M268" s="16" t="n">
        <v>46514</v>
      </c>
      <c r="N268" s="17"/>
      <c r="O268" s="16" t="n">
        <f aca="false">IF(N268&lt;&gt;"",N268,M268)</f>
        <v>46514</v>
      </c>
      <c r="P268" s="18" t="s">
        <v>31</v>
      </c>
      <c r="Q268" s="19" t="s">
        <v>882</v>
      </c>
      <c r="R268" s="19"/>
      <c r="S268" s="14" t="str">
        <f aca="true">IF(AND(O268&lt;TODAY(),P268&lt;&gt;"Approved",P268&lt;&gt;"Live",P268&lt;&gt;"Not applicable"),"Overdue","")</f>
        <v/>
      </c>
      <c r="T268" s="14" t="str">
        <f aca="true">IF(S268="Overdue",TODAY()-O268,"")</f>
        <v/>
      </c>
    </row>
    <row r="269" customFormat="false" ht="23.85" hidden="false" customHeight="false" outlineLevel="0" collapsed="false">
      <c r="A269" s="14" t="s">
        <v>883</v>
      </c>
      <c r="B269" s="15" t="s">
        <v>884</v>
      </c>
      <c r="C269" s="14" t="s">
        <v>57</v>
      </c>
      <c r="D269" s="14" t="s">
        <v>222</v>
      </c>
      <c r="E269" s="14" t="s">
        <v>102</v>
      </c>
      <c r="F269" s="15" t="s">
        <v>48</v>
      </c>
      <c r="G269" s="14" t="s">
        <v>41</v>
      </c>
      <c r="H269" s="16" t="n">
        <v>46447</v>
      </c>
      <c r="I269" s="16" t="n">
        <v>46458</v>
      </c>
      <c r="J269" s="16" t="n">
        <v>46479</v>
      </c>
      <c r="K269" s="16" t="n">
        <v>46493</v>
      </c>
      <c r="L269" s="16" t="n">
        <v>46507</v>
      </c>
      <c r="M269" s="16" t="n">
        <v>46514</v>
      </c>
      <c r="N269" s="17"/>
      <c r="O269" s="16" t="n">
        <f aca="false">IF(N269&lt;&gt;"",N269,M269)</f>
        <v>46514</v>
      </c>
      <c r="P269" s="18" t="s">
        <v>31</v>
      </c>
      <c r="Q269" s="19" t="s">
        <v>885</v>
      </c>
      <c r="R269" s="19"/>
      <c r="S269" s="14" t="str">
        <f aca="true">IF(AND(O269&lt;TODAY(),P269&lt;&gt;"Approved",P269&lt;&gt;"Live",P269&lt;&gt;"Not applicable"),"Overdue","")</f>
        <v/>
      </c>
      <c r="T269" s="14" t="str">
        <f aca="true">IF(S269="Overdue",TODAY()-O269,"")</f>
        <v/>
      </c>
    </row>
    <row r="270" customFormat="false" ht="23.85" hidden="false" customHeight="false" outlineLevel="0" collapsed="false">
      <c r="A270" s="14" t="s">
        <v>886</v>
      </c>
      <c r="B270" s="15" t="s">
        <v>887</v>
      </c>
      <c r="C270" s="14" t="s">
        <v>57</v>
      </c>
      <c r="D270" s="14" t="s">
        <v>282</v>
      </c>
      <c r="E270" s="14" t="s">
        <v>102</v>
      </c>
      <c r="F270" s="15" t="s">
        <v>49</v>
      </c>
      <c r="G270" s="14" t="s">
        <v>41</v>
      </c>
      <c r="H270" s="16" t="n">
        <v>46447</v>
      </c>
      <c r="I270" s="16" t="n">
        <v>46458</v>
      </c>
      <c r="J270" s="16" t="n">
        <v>46479</v>
      </c>
      <c r="K270" s="16" t="n">
        <v>46493</v>
      </c>
      <c r="L270" s="16" t="n">
        <v>46507</v>
      </c>
      <c r="M270" s="16" t="n">
        <v>46514</v>
      </c>
      <c r="N270" s="17"/>
      <c r="O270" s="16" t="n">
        <f aca="false">IF(N270&lt;&gt;"",N270,M270)</f>
        <v>46514</v>
      </c>
      <c r="P270" s="18" t="s">
        <v>31</v>
      </c>
      <c r="Q270" s="19" t="s">
        <v>888</v>
      </c>
      <c r="R270" s="19"/>
      <c r="S270" s="14" t="str">
        <f aca="true">IF(AND(O270&lt;TODAY(),P270&lt;&gt;"Approved",P270&lt;&gt;"Live",P270&lt;&gt;"Not applicable"),"Overdue","")</f>
        <v/>
      </c>
      <c r="T270" s="14" t="str">
        <f aca="true">IF(S270="Overdue",TODAY()-O270,"")</f>
        <v/>
      </c>
    </row>
    <row r="271" customFormat="false" ht="23.85" hidden="false" customHeight="false" outlineLevel="0" collapsed="false">
      <c r="A271" s="14" t="s">
        <v>889</v>
      </c>
      <c r="B271" s="15" t="s">
        <v>890</v>
      </c>
      <c r="C271" s="14" t="s">
        <v>56</v>
      </c>
      <c r="D271" s="14" t="s">
        <v>203</v>
      </c>
      <c r="E271" s="14" t="s">
        <v>102</v>
      </c>
      <c r="F271" s="15" t="s">
        <v>49</v>
      </c>
      <c r="G271" s="14" t="s">
        <v>41</v>
      </c>
      <c r="H271" s="16" t="n">
        <v>46447</v>
      </c>
      <c r="I271" s="16" t="n">
        <v>46458</v>
      </c>
      <c r="J271" s="16" t="n">
        <v>46479</v>
      </c>
      <c r="K271" s="16" t="n">
        <v>46493</v>
      </c>
      <c r="L271" s="16" t="n">
        <v>46507</v>
      </c>
      <c r="M271" s="16" t="n">
        <v>46514</v>
      </c>
      <c r="N271" s="17"/>
      <c r="O271" s="16" t="n">
        <f aca="false">IF(N271&lt;&gt;"",N271,M271)</f>
        <v>46514</v>
      </c>
      <c r="P271" s="18" t="s">
        <v>31</v>
      </c>
      <c r="Q271" s="19" t="s">
        <v>891</v>
      </c>
      <c r="R271" s="19"/>
      <c r="S271" s="14" t="str">
        <f aca="true">IF(AND(O271&lt;TODAY(),P271&lt;&gt;"Approved",P271&lt;&gt;"Live",P271&lt;&gt;"Not applicable"),"Overdue","")</f>
        <v/>
      </c>
      <c r="T271" s="14" t="str">
        <f aca="true">IF(S271="Overdue",TODAY()-O271,"")</f>
        <v/>
      </c>
    </row>
    <row r="272" customFormat="false" ht="15" hidden="false" customHeight="false" outlineLevel="0" collapsed="false">
      <c r="A272" s="14" t="s">
        <v>892</v>
      </c>
      <c r="B272" s="15" t="s">
        <v>893</v>
      </c>
      <c r="C272" s="14" t="s">
        <v>57</v>
      </c>
      <c r="D272" s="14" t="s">
        <v>190</v>
      </c>
      <c r="E272" s="14" t="s">
        <v>102</v>
      </c>
      <c r="F272" s="15" t="s">
        <v>48</v>
      </c>
      <c r="G272" s="14" t="s">
        <v>41</v>
      </c>
      <c r="H272" s="16" t="n">
        <v>46447</v>
      </c>
      <c r="I272" s="16" t="n">
        <v>46458</v>
      </c>
      <c r="J272" s="16" t="n">
        <v>46479</v>
      </c>
      <c r="K272" s="16" t="n">
        <v>46493</v>
      </c>
      <c r="L272" s="16" t="n">
        <v>46507</v>
      </c>
      <c r="M272" s="16" t="n">
        <v>46514</v>
      </c>
      <c r="N272" s="17"/>
      <c r="O272" s="16" t="n">
        <f aca="false">IF(N272&lt;&gt;"",N272,M272)</f>
        <v>46514</v>
      </c>
      <c r="P272" s="18" t="s">
        <v>31</v>
      </c>
      <c r="Q272" s="19" t="s">
        <v>894</v>
      </c>
      <c r="R272" s="19"/>
      <c r="S272" s="14" t="str">
        <f aca="true">IF(AND(O272&lt;TODAY(),P272&lt;&gt;"Approved",P272&lt;&gt;"Live",P272&lt;&gt;"Not applicable"),"Overdue","")</f>
        <v/>
      </c>
      <c r="T272" s="14" t="str">
        <f aca="true">IF(S272="Overdue",TODAY()-O272,"")</f>
        <v/>
      </c>
    </row>
    <row r="273" customFormat="false" ht="15" hidden="false" customHeight="false" outlineLevel="0" collapsed="false">
      <c r="A273" s="14" t="s">
        <v>895</v>
      </c>
      <c r="B273" s="15" t="s">
        <v>896</v>
      </c>
      <c r="C273" s="14" t="s">
        <v>57</v>
      </c>
      <c r="D273" s="14" t="s">
        <v>190</v>
      </c>
      <c r="E273" s="14" t="s">
        <v>102</v>
      </c>
      <c r="F273" s="15" t="s">
        <v>48</v>
      </c>
      <c r="G273" s="14" t="s">
        <v>41</v>
      </c>
      <c r="H273" s="16" t="n">
        <v>46447</v>
      </c>
      <c r="I273" s="16" t="n">
        <v>46458</v>
      </c>
      <c r="J273" s="16" t="n">
        <v>46479</v>
      </c>
      <c r="K273" s="16" t="n">
        <v>46493</v>
      </c>
      <c r="L273" s="16" t="n">
        <v>46507</v>
      </c>
      <c r="M273" s="16" t="n">
        <v>46514</v>
      </c>
      <c r="N273" s="17"/>
      <c r="O273" s="16" t="n">
        <f aca="false">IF(N273&lt;&gt;"",N273,M273)</f>
        <v>46514</v>
      </c>
      <c r="P273" s="18" t="s">
        <v>31</v>
      </c>
      <c r="Q273" s="19" t="s">
        <v>897</v>
      </c>
      <c r="R273" s="19"/>
      <c r="S273" s="14" t="str">
        <f aca="true">IF(AND(O273&lt;TODAY(),P273&lt;&gt;"Approved",P273&lt;&gt;"Live",P273&lt;&gt;"Not applicable"),"Overdue","")</f>
        <v/>
      </c>
      <c r="T273" s="14" t="str">
        <f aca="true">IF(S273="Overdue",TODAY()-O273,"")</f>
        <v/>
      </c>
    </row>
    <row r="274" customFormat="false" ht="15" hidden="false" customHeight="false" outlineLevel="0" collapsed="false">
      <c r="A274" s="14" t="s">
        <v>898</v>
      </c>
      <c r="B274" s="15" t="s">
        <v>899</v>
      </c>
      <c r="C274" s="14" t="s">
        <v>57</v>
      </c>
      <c r="D274" s="14" t="s">
        <v>170</v>
      </c>
      <c r="E274" s="14" t="s">
        <v>102</v>
      </c>
      <c r="F274" s="15" t="s">
        <v>51</v>
      </c>
      <c r="G274" s="14" t="s">
        <v>41</v>
      </c>
      <c r="H274" s="16" t="n">
        <v>46447</v>
      </c>
      <c r="I274" s="16" t="n">
        <v>46458</v>
      </c>
      <c r="J274" s="16" t="n">
        <v>46479</v>
      </c>
      <c r="K274" s="16" t="n">
        <v>46493</v>
      </c>
      <c r="L274" s="16" t="n">
        <v>46507</v>
      </c>
      <c r="M274" s="16" t="n">
        <v>46514</v>
      </c>
      <c r="N274" s="17"/>
      <c r="O274" s="16" t="n">
        <f aca="false">IF(N274&lt;&gt;"",N274,M274)</f>
        <v>46514</v>
      </c>
      <c r="P274" s="18" t="s">
        <v>31</v>
      </c>
      <c r="Q274" s="19" t="s">
        <v>900</v>
      </c>
      <c r="R274" s="19"/>
      <c r="S274" s="14" t="str">
        <f aca="true">IF(AND(O274&lt;TODAY(),P274&lt;&gt;"Approved",P274&lt;&gt;"Live",P274&lt;&gt;"Not applicable"),"Overdue","")</f>
        <v/>
      </c>
      <c r="T274" s="14" t="str">
        <f aca="true">IF(S274="Overdue",TODAY()-O274,"")</f>
        <v/>
      </c>
    </row>
    <row r="275" customFormat="false" ht="23.85" hidden="false" customHeight="false" outlineLevel="0" collapsed="false">
      <c r="A275" s="14" t="s">
        <v>901</v>
      </c>
      <c r="B275" s="15" t="s">
        <v>902</v>
      </c>
      <c r="C275" s="14" t="s">
        <v>57</v>
      </c>
      <c r="D275" s="14" t="s">
        <v>170</v>
      </c>
      <c r="E275" s="14" t="s">
        <v>102</v>
      </c>
      <c r="F275" s="15" t="s">
        <v>51</v>
      </c>
      <c r="G275" s="14" t="s">
        <v>41</v>
      </c>
      <c r="H275" s="16" t="n">
        <v>46447</v>
      </c>
      <c r="I275" s="16" t="n">
        <v>46458</v>
      </c>
      <c r="J275" s="16" t="n">
        <v>46479</v>
      </c>
      <c r="K275" s="16" t="n">
        <v>46493</v>
      </c>
      <c r="L275" s="16" t="n">
        <v>46507</v>
      </c>
      <c r="M275" s="16" t="n">
        <v>46514</v>
      </c>
      <c r="N275" s="17"/>
      <c r="O275" s="16" t="n">
        <f aca="false">IF(N275&lt;&gt;"",N275,M275)</f>
        <v>46514</v>
      </c>
      <c r="P275" s="18" t="s">
        <v>31</v>
      </c>
      <c r="Q275" s="19" t="s">
        <v>903</v>
      </c>
      <c r="R275" s="19"/>
      <c r="S275" s="14" t="str">
        <f aca="true">IF(AND(O275&lt;TODAY(),P275&lt;&gt;"Approved",P275&lt;&gt;"Live",P275&lt;&gt;"Not applicable"),"Overdue","")</f>
        <v/>
      </c>
      <c r="T275" s="14" t="str">
        <f aca="true">IF(S275="Overdue",TODAY()-O275,"")</f>
        <v/>
      </c>
    </row>
    <row r="276" customFormat="false" ht="15" hidden="false" customHeight="false" outlineLevel="0" collapsed="false">
      <c r="A276" s="14" t="s">
        <v>904</v>
      </c>
      <c r="B276" s="15" t="s">
        <v>905</v>
      </c>
      <c r="C276" s="14" t="s">
        <v>56</v>
      </c>
      <c r="D276" s="14" t="s">
        <v>203</v>
      </c>
      <c r="E276" s="14" t="s">
        <v>102</v>
      </c>
      <c r="F276" s="15" t="s">
        <v>49</v>
      </c>
      <c r="G276" s="14" t="s">
        <v>41</v>
      </c>
      <c r="H276" s="16" t="n">
        <v>46447</v>
      </c>
      <c r="I276" s="16" t="n">
        <v>46458</v>
      </c>
      <c r="J276" s="16" t="n">
        <v>46479</v>
      </c>
      <c r="K276" s="16" t="n">
        <v>46493</v>
      </c>
      <c r="L276" s="16" t="n">
        <v>46507</v>
      </c>
      <c r="M276" s="16" t="n">
        <v>46514</v>
      </c>
      <c r="N276" s="17"/>
      <c r="O276" s="16" t="n">
        <f aca="false">IF(N276&lt;&gt;"",N276,M276)</f>
        <v>46514</v>
      </c>
      <c r="P276" s="18" t="s">
        <v>31</v>
      </c>
      <c r="Q276" s="19" t="s">
        <v>203</v>
      </c>
      <c r="R276" s="19"/>
      <c r="S276" s="14" t="str">
        <f aca="true">IF(AND(O276&lt;TODAY(),P276&lt;&gt;"Approved",P276&lt;&gt;"Live",P276&lt;&gt;"Not applicable"),"Overdue","")</f>
        <v/>
      </c>
      <c r="T276" s="14" t="str">
        <f aca="true">IF(S276="Overdue",TODAY()-O276,"")</f>
        <v/>
      </c>
    </row>
    <row r="277" customFormat="false" ht="23.85" hidden="false" customHeight="false" outlineLevel="0" collapsed="false">
      <c r="A277" s="14" t="s">
        <v>906</v>
      </c>
      <c r="B277" s="15" t="s">
        <v>907</v>
      </c>
      <c r="C277" s="14" t="s">
        <v>56</v>
      </c>
      <c r="D277" s="14" t="s">
        <v>186</v>
      </c>
      <c r="E277" s="14" t="s">
        <v>102</v>
      </c>
      <c r="F277" s="15" t="s">
        <v>51</v>
      </c>
      <c r="G277" s="14" t="s">
        <v>41</v>
      </c>
      <c r="H277" s="16" t="n">
        <v>46447</v>
      </c>
      <c r="I277" s="16" t="n">
        <v>46458</v>
      </c>
      <c r="J277" s="16" t="n">
        <v>46479</v>
      </c>
      <c r="K277" s="16" t="n">
        <v>46493</v>
      </c>
      <c r="L277" s="16" t="n">
        <v>46507</v>
      </c>
      <c r="M277" s="16" t="n">
        <v>46514</v>
      </c>
      <c r="N277" s="17"/>
      <c r="O277" s="16" t="n">
        <f aca="false">IF(N277&lt;&gt;"",N277,M277)</f>
        <v>46514</v>
      </c>
      <c r="P277" s="18" t="s">
        <v>31</v>
      </c>
      <c r="Q277" s="19" t="s">
        <v>908</v>
      </c>
      <c r="R277" s="19"/>
      <c r="S277" s="14" t="str">
        <f aca="true">IF(AND(O277&lt;TODAY(),P277&lt;&gt;"Approved",P277&lt;&gt;"Live",P277&lt;&gt;"Not applicable"),"Overdue","")</f>
        <v/>
      </c>
      <c r="T277" s="14" t="str">
        <f aca="true">IF(S277="Overdue",TODAY()-O277,"")</f>
        <v/>
      </c>
    </row>
    <row r="278" customFormat="false" ht="15" hidden="false" customHeight="false" outlineLevel="0" collapsed="false">
      <c r="A278" s="14" t="s">
        <v>909</v>
      </c>
      <c r="B278" s="15" t="s">
        <v>910</v>
      </c>
      <c r="C278" s="14" t="s">
        <v>57</v>
      </c>
      <c r="D278" s="14" t="s">
        <v>282</v>
      </c>
      <c r="E278" s="14" t="s">
        <v>102</v>
      </c>
      <c r="F278" s="15" t="s">
        <v>49</v>
      </c>
      <c r="G278" s="14" t="s">
        <v>41</v>
      </c>
      <c r="H278" s="16" t="n">
        <v>46447</v>
      </c>
      <c r="I278" s="16" t="n">
        <v>46458</v>
      </c>
      <c r="J278" s="16" t="n">
        <v>46479</v>
      </c>
      <c r="K278" s="16" t="n">
        <v>46493</v>
      </c>
      <c r="L278" s="16" t="n">
        <v>46507</v>
      </c>
      <c r="M278" s="16" t="n">
        <v>46514</v>
      </c>
      <c r="N278" s="17"/>
      <c r="O278" s="16" t="n">
        <f aca="false">IF(N278&lt;&gt;"",N278,M278)</f>
        <v>46514</v>
      </c>
      <c r="P278" s="18" t="s">
        <v>31</v>
      </c>
      <c r="Q278" s="19" t="s">
        <v>911</v>
      </c>
      <c r="R278" s="19"/>
      <c r="S278" s="14" t="str">
        <f aca="true">IF(AND(O278&lt;TODAY(),P278&lt;&gt;"Approved",P278&lt;&gt;"Live",P278&lt;&gt;"Not applicable"),"Overdue","")</f>
        <v/>
      </c>
      <c r="T278" s="14" t="str">
        <f aca="true">IF(S278="Overdue",TODAY()-O278,"")</f>
        <v/>
      </c>
    </row>
    <row r="279" customFormat="false" ht="15" hidden="false" customHeight="false" outlineLevel="0" collapsed="false">
      <c r="A279" s="14" t="s">
        <v>912</v>
      </c>
      <c r="B279" s="15" t="s">
        <v>913</v>
      </c>
      <c r="C279" s="14" t="s">
        <v>57</v>
      </c>
      <c r="D279" s="14" t="s">
        <v>190</v>
      </c>
      <c r="E279" s="14" t="s">
        <v>102</v>
      </c>
      <c r="F279" s="15" t="s">
        <v>48</v>
      </c>
      <c r="G279" s="14" t="s">
        <v>41</v>
      </c>
      <c r="H279" s="16" t="n">
        <v>46447</v>
      </c>
      <c r="I279" s="16" t="n">
        <v>46458</v>
      </c>
      <c r="J279" s="16" t="n">
        <v>46479</v>
      </c>
      <c r="K279" s="16" t="n">
        <v>46493</v>
      </c>
      <c r="L279" s="16" t="n">
        <v>46507</v>
      </c>
      <c r="M279" s="16" t="n">
        <v>46514</v>
      </c>
      <c r="N279" s="17"/>
      <c r="O279" s="16" t="n">
        <f aca="false">IF(N279&lt;&gt;"",N279,M279)</f>
        <v>46514</v>
      </c>
      <c r="P279" s="18" t="s">
        <v>31</v>
      </c>
      <c r="Q279" s="19" t="s">
        <v>496</v>
      </c>
      <c r="R279" s="19"/>
      <c r="S279" s="14" t="str">
        <f aca="true">IF(AND(O279&lt;TODAY(),P279&lt;&gt;"Approved",P279&lt;&gt;"Live",P279&lt;&gt;"Not applicable"),"Overdue","")</f>
        <v/>
      </c>
      <c r="T279" s="14" t="str">
        <f aca="true">IF(S279="Overdue",TODAY()-O279,"")</f>
        <v/>
      </c>
    </row>
    <row r="280" customFormat="false" ht="23.85" hidden="false" customHeight="false" outlineLevel="0" collapsed="false">
      <c r="A280" s="14" t="s">
        <v>914</v>
      </c>
      <c r="B280" s="15" t="s">
        <v>915</v>
      </c>
      <c r="C280" s="14" t="s">
        <v>56</v>
      </c>
      <c r="D280" s="14" t="s">
        <v>186</v>
      </c>
      <c r="E280" s="14" t="s">
        <v>102</v>
      </c>
      <c r="F280" s="15" t="s">
        <v>51</v>
      </c>
      <c r="G280" s="14" t="s">
        <v>41</v>
      </c>
      <c r="H280" s="16" t="n">
        <v>46447</v>
      </c>
      <c r="I280" s="16" t="n">
        <v>46458</v>
      </c>
      <c r="J280" s="16" t="n">
        <v>46479</v>
      </c>
      <c r="K280" s="16" t="n">
        <v>46493</v>
      </c>
      <c r="L280" s="16" t="n">
        <v>46507</v>
      </c>
      <c r="M280" s="16" t="n">
        <v>46514</v>
      </c>
      <c r="N280" s="17"/>
      <c r="O280" s="16" t="n">
        <f aca="false">IF(N280&lt;&gt;"",N280,M280)</f>
        <v>46514</v>
      </c>
      <c r="P280" s="18" t="s">
        <v>31</v>
      </c>
      <c r="Q280" s="19" t="s">
        <v>916</v>
      </c>
      <c r="R280" s="19"/>
      <c r="S280" s="14" t="str">
        <f aca="true">IF(AND(O280&lt;TODAY(),P280&lt;&gt;"Approved",P280&lt;&gt;"Live",P280&lt;&gt;"Not applicable"),"Overdue","")</f>
        <v/>
      </c>
      <c r="T280" s="14" t="str">
        <f aca="true">IF(S280="Overdue",TODAY()-O280,"")</f>
        <v/>
      </c>
    </row>
    <row r="281" customFormat="false" ht="23.85" hidden="false" customHeight="false" outlineLevel="0" collapsed="false">
      <c r="A281" s="14" t="s">
        <v>917</v>
      </c>
      <c r="B281" s="15" t="s">
        <v>918</v>
      </c>
      <c r="C281" s="14" t="s">
        <v>56</v>
      </c>
      <c r="D281" s="14" t="s">
        <v>222</v>
      </c>
      <c r="E281" s="14" t="s">
        <v>102</v>
      </c>
      <c r="F281" s="15" t="s">
        <v>48</v>
      </c>
      <c r="G281" s="14" t="s">
        <v>41</v>
      </c>
      <c r="H281" s="16" t="n">
        <v>46447</v>
      </c>
      <c r="I281" s="16" t="n">
        <v>46458</v>
      </c>
      <c r="J281" s="16" t="n">
        <v>46479</v>
      </c>
      <c r="K281" s="16" t="n">
        <v>46493</v>
      </c>
      <c r="L281" s="16" t="n">
        <v>46507</v>
      </c>
      <c r="M281" s="16" t="n">
        <v>46514</v>
      </c>
      <c r="N281" s="17"/>
      <c r="O281" s="16" t="n">
        <f aca="false">IF(N281&lt;&gt;"",N281,M281)</f>
        <v>46514</v>
      </c>
      <c r="P281" s="18" t="s">
        <v>31</v>
      </c>
      <c r="Q281" s="19" t="s">
        <v>496</v>
      </c>
      <c r="R281" s="19"/>
      <c r="S281" s="14" t="str">
        <f aca="true">IF(AND(O281&lt;TODAY(),P281&lt;&gt;"Approved",P281&lt;&gt;"Live",P281&lt;&gt;"Not applicable"),"Overdue","")</f>
        <v/>
      </c>
      <c r="T281" s="14" t="str">
        <f aca="true">IF(S281="Overdue",TODAY()-O281,"")</f>
        <v/>
      </c>
    </row>
    <row r="282" customFormat="false" ht="15" hidden="false" customHeight="false" outlineLevel="0" collapsed="false">
      <c r="A282" s="14" t="s">
        <v>919</v>
      </c>
      <c r="B282" s="15" t="s">
        <v>920</v>
      </c>
      <c r="C282" s="14" t="s">
        <v>56</v>
      </c>
      <c r="D282" s="14" t="s">
        <v>282</v>
      </c>
      <c r="E282" s="14" t="s">
        <v>102</v>
      </c>
      <c r="F282" s="15" t="s">
        <v>49</v>
      </c>
      <c r="G282" s="14" t="s">
        <v>41</v>
      </c>
      <c r="H282" s="16" t="n">
        <v>46447</v>
      </c>
      <c r="I282" s="16" t="n">
        <v>46458</v>
      </c>
      <c r="J282" s="16" t="n">
        <v>46479</v>
      </c>
      <c r="K282" s="16" t="n">
        <v>46493</v>
      </c>
      <c r="L282" s="16" t="n">
        <v>46507</v>
      </c>
      <c r="M282" s="16" t="n">
        <v>46514</v>
      </c>
      <c r="N282" s="17"/>
      <c r="O282" s="16" t="n">
        <f aca="false">IF(N282&lt;&gt;"",N282,M282)</f>
        <v>46514</v>
      </c>
      <c r="P282" s="18" t="s">
        <v>31</v>
      </c>
      <c r="Q282" s="19" t="s">
        <v>921</v>
      </c>
      <c r="R282" s="19"/>
      <c r="S282" s="14" t="str">
        <f aca="true">IF(AND(O282&lt;TODAY(),P282&lt;&gt;"Approved",P282&lt;&gt;"Live",P282&lt;&gt;"Not applicable"),"Overdue","")</f>
        <v/>
      </c>
      <c r="T282" s="14" t="str">
        <f aca="true">IF(S282="Overdue",TODAY()-O282,"")</f>
        <v/>
      </c>
    </row>
    <row r="283" customFormat="false" ht="15" hidden="false" customHeight="false" outlineLevel="0" collapsed="false">
      <c r="A283" s="14" t="s">
        <v>922</v>
      </c>
      <c r="B283" s="15" t="s">
        <v>923</v>
      </c>
      <c r="C283" s="14" t="s">
        <v>56</v>
      </c>
      <c r="D283" s="14" t="s">
        <v>282</v>
      </c>
      <c r="E283" s="14" t="s">
        <v>102</v>
      </c>
      <c r="F283" s="15" t="s">
        <v>49</v>
      </c>
      <c r="G283" s="14" t="s">
        <v>41</v>
      </c>
      <c r="H283" s="16" t="n">
        <v>46447</v>
      </c>
      <c r="I283" s="16" t="n">
        <v>46458</v>
      </c>
      <c r="J283" s="16" t="n">
        <v>46479</v>
      </c>
      <c r="K283" s="16" t="n">
        <v>46493</v>
      </c>
      <c r="L283" s="16" t="n">
        <v>46507</v>
      </c>
      <c r="M283" s="16" t="n">
        <v>46514</v>
      </c>
      <c r="N283" s="17"/>
      <c r="O283" s="16" t="n">
        <f aca="false">IF(N283&lt;&gt;"",N283,M283)</f>
        <v>46514</v>
      </c>
      <c r="P283" s="18" t="s">
        <v>31</v>
      </c>
      <c r="Q283" s="19" t="s">
        <v>924</v>
      </c>
      <c r="R283" s="19"/>
      <c r="S283" s="14" t="str">
        <f aca="true">IF(AND(O283&lt;TODAY(),P283&lt;&gt;"Approved",P283&lt;&gt;"Live",P283&lt;&gt;"Not applicable"),"Overdue","")</f>
        <v/>
      </c>
      <c r="T283" s="14" t="str">
        <f aca="true">IF(S283="Overdue",TODAY()-O283,"")</f>
        <v/>
      </c>
    </row>
    <row r="284" customFormat="false" ht="23.85" hidden="false" customHeight="false" outlineLevel="0" collapsed="false">
      <c r="A284" s="14" t="s">
        <v>925</v>
      </c>
      <c r="B284" s="15" t="s">
        <v>926</v>
      </c>
      <c r="C284" s="14" t="s">
        <v>57</v>
      </c>
      <c r="D284" s="14" t="s">
        <v>109</v>
      </c>
      <c r="E284" s="14" t="s">
        <v>102</v>
      </c>
      <c r="F284" s="15" t="s">
        <v>47</v>
      </c>
      <c r="G284" s="14" t="s">
        <v>41</v>
      </c>
      <c r="H284" s="16" t="n">
        <v>46447</v>
      </c>
      <c r="I284" s="16" t="n">
        <v>46458</v>
      </c>
      <c r="J284" s="16" t="n">
        <v>46479</v>
      </c>
      <c r="K284" s="16" t="n">
        <v>46493</v>
      </c>
      <c r="L284" s="16" t="n">
        <v>46507</v>
      </c>
      <c r="M284" s="16" t="n">
        <v>46514</v>
      </c>
      <c r="N284" s="17"/>
      <c r="O284" s="16" t="n">
        <f aca="false">IF(N284&lt;&gt;"",N284,M284)</f>
        <v>46514</v>
      </c>
      <c r="P284" s="18" t="s">
        <v>31</v>
      </c>
      <c r="Q284" s="19" t="s">
        <v>927</v>
      </c>
      <c r="R284" s="19"/>
      <c r="S284" s="14" t="str">
        <f aca="true">IF(AND(O284&lt;TODAY(),P284&lt;&gt;"Approved",P284&lt;&gt;"Live",P284&lt;&gt;"Not applicable"),"Overdue","")</f>
        <v/>
      </c>
      <c r="T284" s="14" t="str">
        <f aca="true">IF(S284="Overdue",TODAY()-O284,"")</f>
        <v/>
      </c>
    </row>
    <row r="285" customFormat="false" ht="23.85" hidden="false" customHeight="false" outlineLevel="0" collapsed="false">
      <c r="A285" s="14" t="s">
        <v>928</v>
      </c>
      <c r="B285" s="15" t="s">
        <v>929</v>
      </c>
      <c r="C285" s="14" t="s">
        <v>57</v>
      </c>
      <c r="D285" s="14" t="s">
        <v>222</v>
      </c>
      <c r="E285" s="14" t="s">
        <v>116</v>
      </c>
      <c r="F285" s="15" t="s">
        <v>48</v>
      </c>
      <c r="G285" s="14" t="s">
        <v>41</v>
      </c>
      <c r="H285" s="16" t="n">
        <v>46447</v>
      </c>
      <c r="I285" s="16" t="n">
        <v>46458</v>
      </c>
      <c r="J285" s="16" t="n">
        <v>46479</v>
      </c>
      <c r="K285" s="16" t="n">
        <v>46493</v>
      </c>
      <c r="L285" s="16" t="n">
        <v>46507</v>
      </c>
      <c r="M285" s="16" t="n">
        <v>46514</v>
      </c>
      <c r="N285" s="17"/>
      <c r="O285" s="16" t="n">
        <f aca="false">IF(N285&lt;&gt;"",N285,M285)</f>
        <v>46514</v>
      </c>
      <c r="P285" s="18" t="s">
        <v>31</v>
      </c>
      <c r="Q285" s="19" t="s">
        <v>930</v>
      </c>
      <c r="R285" s="19"/>
      <c r="S285" s="14" t="str">
        <f aca="true">IF(AND(O285&lt;TODAY(),P285&lt;&gt;"Approved",P285&lt;&gt;"Live",P285&lt;&gt;"Not applicable"),"Overdue","")</f>
        <v/>
      </c>
      <c r="T285" s="14" t="str">
        <f aca="true">IF(S285="Overdue",TODAY()-O285,"")</f>
        <v/>
      </c>
    </row>
    <row r="286" customFormat="false" ht="15" hidden="false" customHeight="false" outlineLevel="0" collapsed="false">
      <c r="A286" s="14" t="s">
        <v>931</v>
      </c>
      <c r="B286" s="15" t="s">
        <v>932</v>
      </c>
      <c r="C286" s="14" t="s">
        <v>57</v>
      </c>
      <c r="D286" s="14" t="s">
        <v>190</v>
      </c>
      <c r="E286" s="14" t="s">
        <v>102</v>
      </c>
      <c r="F286" s="15" t="s">
        <v>48</v>
      </c>
      <c r="G286" s="14" t="s">
        <v>41</v>
      </c>
      <c r="H286" s="16" t="n">
        <v>46447</v>
      </c>
      <c r="I286" s="16" t="n">
        <v>46458</v>
      </c>
      <c r="J286" s="16" t="n">
        <v>46479</v>
      </c>
      <c r="K286" s="16" t="n">
        <v>46493</v>
      </c>
      <c r="L286" s="16" t="n">
        <v>46507</v>
      </c>
      <c r="M286" s="16" t="n">
        <v>46514</v>
      </c>
      <c r="N286" s="17"/>
      <c r="O286" s="16" t="n">
        <f aca="false">IF(N286&lt;&gt;"",N286,M286)</f>
        <v>46514</v>
      </c>
      <c r="P286" s="18" t="s">
        <v>31</v>
      </c>
      <c r="Q286" s="19" t="s">
        <v>897</v>
      </c>
      <c r="R286" s="19"/>
      <c r="S286" s="14" t="str">
        <f aca="true">IF(AND(O286&lt;TODAY(),P286&lt;&gt;"Approved",P286&lt;&gt;"Live",P286&lt;&gt;"Not applicable"),"Overdue","")</f>
        <v/>
      </c>
      <c r="T286" s="14" t="str">
        <f aca="true">IF(S286="Overdue",TODAY()-O286,"")</f>
        <v/>
      </c>
    </row>
    <row r="287" customFormat="false" ht="15" hidden="false" customHeight="false" outlineLevel="0" collapsed="false">
      <c r="A287" s="14" t="s">
        <v>933</v>
      </c>
      <c r="B287" s="15" t="s">
        <v>934</v>
      </c>
      <c r="C287" s="14" t="s">
        <v>56</v>
      </c>
      <c r="D287" s="14" t="s">
        <v>222</v>
      </c>
      <c r="E287" s="14" t="s">
        <v>102</v>
      </c>
      <c r="F287" s="15" t="s">
        <v>48</v>
      </c>
      <c r="G287" s="14" t="s">
        <v>41</v>
      </c>
      <c r="H287" s="16" t="n">
        <v>46447</v>
      </c>
      <c r="I287" s="16" t="n">
        <v>46458</v>
      </c>
      <c r="J287" s="16" t="n">
        <v>46479</v>
      </c>
      <c r="K287" s="16" t="n">
        <v>46493</v>
      </c>
      <c r="L287" s="16" t="n">
        <v>46507</v>
      </c>
      <c r="M287" s="16" t="n">
        <v>46514</v>
      </c>
      <c r="N287" s="17"/>
      <c r="O287" s="16" t="n">
        <f aca="false">IF(N287&lt;&gt;"",N287,M287)</f>
        <v>46514</v>
      </c>
      <c r="P287" s="18" t="s">
        <v>31</v>
      </c>
      <c r="Q287" s="19" t="s">
        <v>935</v>
      </c>
      <c r="R287" s="19"/>
      <c r="S287" s="14" t="str">
        <f aca="true">IF(AND(O287&lt;TODAY(),P287&lt;&gt;"Approved",P287&lt;&gt;"Live",P287&lt;&gt;"Not applicable"),"Overdue","")</f>
        <v/>
      </c>
      <c r="T287" s="14" t="str">
        <f aca="true">IF(S287="Overdue",TODAY()-O287,"")</f>
        <v/>
      </c>
    </row>
    <row r="288" customFormat="false" ht="23.85" hidden="false" customHeight="false" outlineLevel="0" collapsed="false">
      <c r="A288" s="14" t="s">
        <v>936</v>
      </c>
      <c r="B288" s="15" t="s">
        <v>937</v>
      </c>
      <c r="C288" s="14" t="s">
        <v>57</v>
      </c>
      <c r="D288" s="14" t="s">
        <v>282</v>
      </c>
      <c r="E288" s="14" t="s">
        <v>102</v>
      </c>
      <c r="F288" s="15" t="s">
        <v>49</v>
      </c>
      <c r="G288" s="14" t="s">
        <v>41</v>
      </c>
      <c r="H288" s="16" t="n">
        <v>46447</v>
      </c>
      <c r="I288" s="16" t="n">
        <v>46458</v>
      </c>
      <c r="J288" s="16" t="n">
        <v>46479</v>
      </c>
      <c r="K288" s="16" t="n">
        <v>46493</v>
      </c>
      <c r="L288" s="16" t="n">
        <v>46507</v>
      </c>
      <c r="M288" s="16" t="n">
        <v>46514</v>
      </c>
      <c r="N288" s="17"/>
      <c r="O288" s="16" t="n">
        <f aca="false">IF(N288&lt;&gt;"",N288,M288)</f>
        <v>46514</v>
      </c>
      <c r="P288" s="18" t="s">
        <v>31</v>
      </c>
      <c r="Q288" s="19" t="s">
        <v>872</v>
      </c>
      <c r="R288" s="19"/>
      <c r="S288" s="14" t="str">
        <f aca="true">IF(AND(O288&lt;TODAY(),P288&lt;&gt;"Approved",P288&lt;&gt;"Live",P288&lt;&gt;"Not applicable"),"Overdue","")</f>
        <v/>
      </c>
      <c r="T288" s="14" t="str">
        <f aca="true">IF(S288="Overdue",TODAY()-O288,"")</f>
        <v/>
      </c>
    </row>
    <row r="289" customFormat="false" ht="23.85" hidden="false" customHeight="false" outlineLevel="0" collapsed="false">
      <c r="A289" s="14" t="s">
        <v>938</v>
      </c>
      <c r="B289" s="15" t="s">
        <v>939</v>
      </c>
      <c r="C289" s="14" t="s">
        <v>57</v>
      </c>
      <c r="D289" s="14" t="s">
        <v>109</v>
      </c>
      <c r="E289" s="14" t="s">
        <v>102</v>
      </c>
      <c r="F289" s="15" t="s">
        <v>47</v>
      </c>
      <c r="G289" s="14" t="s">
        <v>41</v>
      </c>
      <c r="H289" s="16" t="n">
        <v>46447</v>
      </c>
      <c r="I289" s="16" t="n">
        <v>46458</v>
      </c>
      <c r="J289" s="16" t="n">
        <v>46479</v>
      </c>
      <c r="K289" s="16" t="n">
        <v>46493</v>
      </c>
      <c r="L289" s="16" t="n">
        <v>46507</v>
      </c>
      <c r="M289" s="16" t="n">
        <v>46514</v>
      </c>
      <c r="N289" s="17"/>
      <c r="O289" s="16" t="n">
        <f aca="false">IF(N289&lt;&gt;"",N289,M289)</f>
        <v>46514</v>
      </c>
      <c r="P289" s="18" t="s">
        <v>31</v>
      </c>
      <c r="Q289" s="19" t="s">
        <v>940</v>
      </c>
      <c r="R289" s="19"/>
      <c r="S289" s="14" t="str">
        <f aca="true">IF(AND(O289&lt;TODAY(),P289&lt;&gt;"Approved",P289&lt;&gt;"Live",P289&lt;&gt;"Not applicable"),"Overdue","")</f>
        <v/>
      </c>
      <c r="T289" s="14" t="str">
        <f aca="true">IF(S289="Overdue",TODAY()-O289,"")</f>
        <v/>
      </c>
    </row>
    <row r="290" customFormat="false" ht="23.85" hidden="false" customHeight="false" outlineLevel="0" collapsed="false">
      <c r="A290" s="14" t="s">
        <v>941</v>
      </c>
      <c r="B290" s="15" t="s">
        <v>942</v>
      </c>
      <c r="C290" s="14" t="s">
        <v>57</v>
      </c>
      <c r="D290" s="14" t="s">
        <v>109</v>
      </c>
      <c r="E290" s="14" t="s">
        <v>102</v>
      </c>
      <c r="F290" s="15" t="s">
        <v>47</v>
      </c>
      <c r="G290" s="14" t="s">
        <v>41</v>
      </c>
      <c r="H290" s="16" t="n">
        <v>46447</v>
      </c>
      <c r="I290" s="16" t="n">
        <v>46458</v>
      </c>
      <c r="J290" s="16" t="n">
        <v>46479</v>
      </c>
      <c r="K290" s="16" t="n">
        <v>46493</v>
      </c>
      <c r="L290" s="16" t="n">
        <v>46507</v>
      </c>
      <c r="M290" s="16" t="n">
        <v>46514</v>
      </c>
      <c r="N290" s="17"/>
      <c r="O290" s="16" t="n">
        <f aca="false">IF(N290&lt;&gt;"",N290,M290)</f>
        <v>46514</v>
      </c>
      <c r="P290" s="18" t="s">
        <v>31</v>
      </c>
      <c r="Q290" s="19" t="s">
        <v>286</v>
      </c>
      <c r="R290" s="19"/>
      <c r="S290" s="14" t="str">
        <f aca="true">IF(AND(O290&lt;TODAY(),P290&lt;&gt;"Approved",P290&lt;&gt;"Live",P290&lt;&gt;"Not applicable"),"Overdue","")</f>
        <v/>
      </c>
      <c r="T290" s="14" t="str">
        <f aca="true">IF(S290="Overdue",TODAY()-O290,"")</f>
        <v/>
      </c>
    </row>
    <row r="291" customFormat="false" ht="15" hidden="false" customHeight="false" outlineLevel="0" collapsed="false">
      <c r="A291" s="14" t="s">
        <v>943</v>
      </c>
      <c r="B291" s="15" t="s">
        <v>944</v>
      </c>
      <c r="C291" s="14" t="s">
        <v>59</v>
      </c>
      <c r="D291" s="14" t="s">
        <v>148</v>
      </c>
      <c r="E291" s="14" t="s">
        <v>102</v>
      </c>
      <c r="F291" s="15" t="s">
        <v>50</v>
      </c>
      <c r="G291" s="14" t="s">
        <v>41</v>
      </c>
      <c r="H291" s="16" t="n">
        <v>46447</v>
      </c>
      <c r="I291" s="16" t="n">
        <v>46458</v>
      </c>
      <c r="J291" s="16" t="n">
        <v>46479</v>
      </c>
      <c r="K291" s="16" t="n">
        <v>46493</v>
      </c>
      <c r="L291" s="16" t="n">
        <v>46507</v>
      </c>
      <c r="M291" s="16" t="n">
        <v>46514</v>
      </c>
      <c r="N291" s="17"/>
      <c r="O291" s="16" t="n">
        <f aca="false">IF(N291&lt;&gt;"",N291,M291)</f>
        <v>46514</v>
      </c>
      <c r="P291" s="18" t="s">
        <v>31</v>
      </c>
      <c r="Q291" s="19" t="s">
        <v>945</v>
      </c>
      <c r="R291" s="19"/>
      <c r="S291" s="14" t="str">
        <f aca="true">IF(AND(O291&lt;TODAY(),P291&lt;&gt;"Approved",P291&lt;&gt;"Live",P291&lt;&gt;"Not applicable"),"Overdue","")</f>
        <v/>
      </c>
      <c r="T291" s="14" t="str">
        <f aca="true">IF(S291="Overdue",TODAY()-O291,"")</f>
        <v/>
      </c>
    </row>
    <row r="292" customFormat="false" ht="23.85" hidden="false" customHeight="false" outlineLevel="0" collapsed="false">
      <c r="A292" s="14" t="s">
        <v>946</v>
      </c>
      <c r="B292" s="15" t="s">
        <v>947</v>
      </c>
      <c r="C292" s="14" t="s">
        <v>55</v>
      </c>
      <c r="D292" s="14" t="s">
        <v>163</v>
      </c>
      <c r="E292" s="14" t="s">
        <v>102</v>
      </c>
      <c r="F292" s="15" t="s">
        <v>48</v>
      </c>
      <c r="G292" s="14" t="s">
        <v>41</v>
      </c>
      <c r="H292" s="16" t="n">
        <v>46454</v>
      </c>
      <c r="I292" s="16" t="n">
        <v>46465</v>
      </c>
      <c r="J292" s="16" t="n">
        <v>46486</v>
      </c>
      <c r="K292" s="16" t="n">
        <v>46500</v>
      </c>
      <c r="L292" s="16" t="n">
        <v>46514</v>
      </c>
      <c r="M292" s="16" t="n">
        <v>46521</v>
      </c>
      <c r="N292" s="17"/>
      <c r="O292" s="16" t="n">
        <f aca="false">IF(N292&lt;&gt;"",N292,M292)</f>
        <v>46521</v>
      </c>
      <c r="P292" s="18" t="s">
        <v>31</v>
      </c>
      <c r="Q292" s="19" t="s">
        <v>948</v>
      </c>
      <c r="R292" s="19"/>
      <c r="S292" s="14" t="str">
        <f aca="true">IF(AND(O292&lt;TODAY(),P292&lt;&gt;"Approved",P292&lt;&gt;"Live",P292&lt;&gt;"Not applicable"),"Overdue","")</f>
        <v/>
      </c>
      <c r="T292" s="14" t="str">
        <f aca="true">IF(S292="Overdue",TODAY()-O292,"")</f>
        <v/>
      </c>
    </row>
    <row r="293" customFormat="false" ht="35.05" hidden="false" customHeight="false" outlineLevel="0" collapsed="false">
      <c r="A293" s="14" t="s">
        <v>949</v>
      </c>
      <c r="B293" s="15" t="s">
        <v>950</v>
      </c>
      <c r="C293" s="14" t="s">
        <v>55</v>
      </c>
      <c r="D293" s="14" t="s">
        <v>251</v>
      </c>
      <c r="E293" s="14" t="s">
        <v>102</v>
      </c>
      <c r="F293" s="15" t="s">
        <v>47</v>
      </c>
      <c r="G293" s="14" t="s">
        <v>41</v>
      </c>
      <c r="H293" s="16" t="n">
        <v>46454</v>
      </c>
      <c r="I293" s="16" t="n">
        <v>46465</v>
      </c>
      <c r="J293" s="16" t="n">
        <v>46486</v>
      </c>
      <c r="K293" s="16" t="n">
        <v>46500</v>
      </c>
      <c r="L293" s="16" t="n">
        <v>46514</v>
      </c>
      <c r="M293" s="16" t="n">
        <v>46521</v>
      </c>
      <c r="N293" s="17"/>
      <c r="O293" s="16" t="n">
        <f aca="false">IF(N293&lt;&gt;"",N293,M293)</f>
        <v>46521</v>
      </c>
      <c r="P293" s="18" t="s">
        <v>31</v>
      </c>
      <c r="Q293" s="19" t="s">
        <v>951</v>
      </c>
      <c r="R293" s="19"/>
      <c r="S293" s="14" t="str">
        <f aca="true">IF(AND(O293&lt;TODAY(),P293&lt;&gt;"Approved",P293&lt;&gt;"Live",P293&lt;&gt;"Not applicable"),"Overdue","")</f>
        <v/>
      </c>
      <c r="T293" s="14" t="str">
        <f aca="true">IF(S293="Overdue",TODAY()-O293,"")</f>
        <v/>
      </c>
    </row>
    <row r="294" customFormat="false" ht="35.05" hidden="false" customHeight="false" outlineLevel="0" collapsed="false">
      <c r="A294" s="14" t="s">
        <v>952</v>
      </c>
      <c r="B294" s="15" t="s">
        <v>953</v>
      </c>
      <c r="C294" s="14" t="s">
        <v>55</v>
      </c>
      <c r="D294" s="14" t="s">
        <v>251</v>
      </c>
      <c r="E294" s="14" t="s">
        <v>102</v>
      </c>
      <c r="F294" s="15" t="s">
        <v>47</v>
      </c>
      <c r="G294" s="14" t="s">
        <v>41</v>
      </c>
      <c r="H294" s="16" t="n">
        <v>46454</v>
      </c>
      <c r="I294" s="16" t="n">
        <v>46465</v>
      </c>
      <c r="J294" s="16" t="n">
        <v>46486</v>
      </c>
      <c r="K294" s="16" t="n">
        <v>46500</v>
      </c>
      <c r="L294" s="16" t="n">
        <v>46514</v>
      </c>
      <c r="M294" s="16" t="n">
        <v>46521</v>
      </c>
      <c r="N294" s="17"/>
      <c r="O294" s="16" t="n">
        <f aca="false">IF(N294&lt;&gt;"",N294,M294)</f>
        <v>46521</v>
      </c>
      <c r="P294" s="18" t="s">
        <v>31</v>
      </c>
      <c r="Q294" s="19" t="s">
        <v>954</v>
      </c>
      <c r="R294" s="19"/>
      <c r="S294" s="14" t="str">
        <f aca="true">IF(AND(O294&lt;TODAY(),P294&lt;&gt;"Approved",P294&lt;&gt;"Live",P294&lt;&gt;"Not applicable"),"Overdue","")</f>
        <v/>
      </c>
      <c r="T294" s="14" t="str">
        <f aca="true">IF(S294="Overdue",TODAY()-O294,"")</f>
        <v/>
      </c>
    </row>
    <row r="295" customFormat="false" ht="23.85" hidden="false" customHeight="false" outlineLevel="0" collapsed="false">
      <c r="A295" s="14" t="s">
        <v>955</v>
      </c>
      <c r="B295" s="15" t="s">
        <v>956</v>
      </c>
      <c r="C295" s="14" t="s">
        <v>56</v>
      </c>
      <c r="D295" s="14" t="s">
        <v>148</v>
      </c>
      <c r="E295" s="14" t="s">
        <v>102</v>
      </c>
      <c r="F295" s="15" t="s">
        <v>50</v>
      </c>
      <c r="G295" s="14" t="s">
        <v>41</v>
      </c>
      <c r="H295" s="16" t="n">
        <v>46454</v>
      </c>
      <c r="I295" s="16" t="n">
        <v>46465</v>
      </c>
      <c r="J295" s="16" t="n">
        <v>46486</v>
      </c>
      <c r="K295" s="16" t="n">
        <v>46500</v>
      </c>
      <c r="L295" s="16" t="n">
        <v>46514</v>
      </c>
      <c r="M295" s="16" t="n">
        <v>46521</v>
      </c>
      <c r="N295" s="17"/>
      <c r="O295" s="16" t="n">
        <f aca="false">IF(N295&lt;&gt;"",N295,M295)</f>
        <v>46521</v>
      </c>
      <c r="P295" s="18" t="s">
        <v>31</v>
      </c>
      <c r="Q295" s="19" t="s">
        <v>957</v>
      </c>
      <c r="R295" s="19"/>
      <c r="S295" s="14" t="str">
        <f aca="true">IF(AND(O295&lt;TODAY(),P295&lt;&gt;"Approved",P295&lt;&gt;"Live",P295&lt;&gt;"Not applicable"),"Overdue","")</f>
        <v/>
      </c>
      <c r="T295" s="14" t="str">
        <f aca="true">IF(S295="Overdue",TODAY()-O295,"")</f>
        <v/>
      </c>
    </row>
    <row r="296" customFormat="false" ht="15" hidden="false" customHeight="false" outlineLevel="0" collapsed="false">
      <c r="A296" s="14" t="s">
        <v>958</v>
      </c>
      <c r="B296" s="15" t="s">
        <v>959</v>
      </c>
      <c r="C296" s="14" t="s">
        <v>57</v>
      </c>
      <c r="D296" s="14" t="s">
        <v>148</v>
      </c>
      <c r="E296" s="14" t="s">
        <v>102</v>
      </c>
      <c r="F296" s="15" t="s">
        <v>50</v>
      </c>
      <c r="G296" s="14" t="s">
        <v>41</v>
      </c>
      <c r="H296" s="16" t="n">
        <v>46454</v>
      </c>
      <c r="I296" s="16" t="n">
        <v>46465</v>
      </c>
      <c r="J296" s="16" t="n">
        <v>46486</v>
      </c>
      <c r="K296" s="16" t="n">
        <v>46500</v>
      </c>
      <c r="L296" s="16" t="n">
        <v>46514</v>
      </c>
      <c r="M296" s="16" t="n">
        <v>46521</v>
      </c>
      <c r="N296" s="17"/>
      <c r="O296" s="16" t="n">
        <f aca="false">IF(N296&lt;&gt;"",N296,M296)</f>
        <v>46521</v>
      </c>
      <c r="P296" s="18" t="s">
        <v>31</v>
      </c>
      <c r="Q296" s="19" t="s">
        <v>960</v>
      </c>
      <c r="R296" s="19"/>
      <c r="S296" s="14" t="str">
        <f aca="true">IF(AND(O296&lt;TODAY(),P296&lt;&gt;"Approved",P296&lt;&gt;"Live",P296&lt;&gt;"Not applicable"),"Overdue","")</f>
        <v/>
      </c>
      <c r="T296" s="14" t="str">
        <f aca="true">IF(S296="Overdue",TODAY()-O296,"")</f>
        <v/>
      </c>
    </row>
    <row r="297" customFormat="false" ht="23.85" hidden="false" customHeight="false" outlineLevel="0" collapsed="false">
      <c r="A297" s="14" t="s">
        <v>961</v>
      </c>
      <c r="B297" s="15" t="s">
        <v>962</v>
      </c>
      <c r="C297" s="14" t="s">
        <v>56</v>
      </c>
      <c r="D297" s="14" t="s">
        <v>81</v>
      </c>
      <c r="E297" s="14" t="s">
        <v>102</v>
      </c>
      <c r="F297" s="15" t="s">
        <v>46</v>
      </c>
      <c r="G297" s="14" t="s">
        <v>41</v>
      </c>
      <c r="H297" s="16" t="n">
        <v>46454</v>
      </c>
      <c r="I297" s="16" t="n">
        <v>46465</v>
      </c>
      <c r="J297" s="16" t="n">
        <v>46486</v>
      </c>
      <c r="K297" s="16" t="n">
        <v>46500</v>
      </c>
      <c r="L297" s="16" t="n">
        <v>46514</v>
      </c>
      <c r="M297" s="16" t="n">
        <v>46521</v>
      </c>
      <c r="N297" s="17"/>
      <c r="O297" s="16" t="n">
        <f aca="false">IF(N297&lt;&gt;"",N297,M297)</f>
        <v>46521</v>
      </c>
      <c r="P297" s="18" t="s">
        <v>31</v>
      </c>
      <c r="Q297" s="19" t="s">
        <v>963</v>
      </c>
      <c r="R297" s="19"/>
      <c r="S297" s="14" t="str">
        <f aca="true">IF(AND(O297&lt;TODAY(),P297&lt;&gt;"Approved",P297&lt;&gt;"Live",P297&lt;&gt;"Not applicable"),"Overdue","")</f>
        <v/>
      </c>
      <c r="T297" s="14" t="str">
        <f aca="true">IF(S297="Overdue",TODAY()-O297,"")</f>
        <v/>
      </c>
    </row>
    <row r="298" customFormat="false" ht="35.05" hidden="false" customHeight="false" outlineLevel="0" collapsed="false">
      <c r="A298" s="14" t="s">
        <v>964</v>
      </c>
      <c r="B298" s="15" t="s">
        <v>965</v>
      </c>
      <c r="C298" s="14" t="s">
        <v>56</v>
      </c>
      <c r="D298" s="14" t="s">
        <v>81</v>
      </c>
      <c r="E298" s="14" t="s">
        <v>102</v>
      </c>
      <c r="F298" s="15" t="s">
        <v>46</v>
      </c>
      <c r="G298" s="14" t="s">
        <v>41</v>
      </c>
      <c r="H298" s="16" t="n">
        <v>46454</v>
      </c>
      <c r="I298" s="16" t="n">
        <v>46465</v>
      </c>
      <c r="J298" s="16" t="n">
        <v>46486</v>
      </c>
      <c r="K298" s="16" t="n">
        <v>46500</v>
      </c>
      <c r="L298" s="16" t="n">
        <v>46514</v>
      </c>
      <c r="M298" s="16" t="n">
        <v>46521</v>
      </c>
      <c r="N298" s="17"/>
      <c r="O298" s="16" t="n">
        <f aca="false">IF(N298&lt;&gt;"",N298,M298)</f>
        <v>46521</v>
      </c>
      <c r="P298" s="18" t="s">
        <v>31</v>
      </c>
      <c r="Q298" s="19" t="s">
        <v>966</v>
      </c>
      <c r="R298" s="19"/>
      <c r="S298" s="14" t="str">
        <f aca="true">IF(AND(O298&lt;TODAY(),P298&lt;&gt;"Approved",P298&lt;&gt;"Live",P298&lt;&gt;"Not applicable"),"Overdue","")</f>
        <v/>
      </c>
      <c r="T298" s="14" t="str">
        <f aca="true">IF(S298="Overdue",TODAY()-O298,"")</f>
        <v/>
      </c>
    </row>
    <row r="299" customFormat="false" ht="23.85" hidden="false" customHeight="false" outlineLevel="0" collapsed="false">
      <c r="A299" s="14" t="s">
        <v>967</v>
      </c>
      <c r="B299" s="15" t="s">
        <v>968</v>
      </c>
      <c r="C299" s="14" t="s">
        <v>56</v>
      </c>
      <c r="D299" s="14" t="s">
        <v>81</v>
      </c>
      <c r="E299" s="14" t="s">
        <v>102</v>
      </c>
      <c r="F299" s="15" t="s">
        <v>46</v>
      </c>
      <c r="G299" s="14" t="s">
        <v>41</v>
      </c>
      <c r="H299" s="16" t="n">
        <v>46454</v>
      </c>
      <c r="I299" s="16" t="n">
        <v>46465</v>
      </c>
      <c r="J299" s="16" t="n">
        <v>46486</v>
      </c>
      <c r="K299" s="16" t="n">
        <v>46500</v>
      </c>
      <c r="L299" s="16" t="n">
        <v>46514</v>
      </c>
      <c r="M299" s="16" t="n">
        <v>46521</v>
      </c>
      <c r="N299" s="17"/>
      <c r="O299" s="16" t="n">
        <f aca="false">IF(N299&lt;&gt;"",N299,M299)</f>
        <v>46521</v>
      </c>
      <c r="P299" s="18" t="s">
        <v>31</v>
      </c>
      <c r="Q299" s="19" t="s">
        <v>969</v>
      </c>
      <c r="R299" s="19"/>
      <c r="S299" s="14" t="str">
        <f aca="true">IF(AND(O299&lt;TODAY(),P299&lt;&gt;"Approved",P299&lt;&gt;"Live",P299&lt;&gt;"Not applicable"),"Overdue","")</f>
        <v/>
      </c>
      <c r="T299" s="14" t="str">
        <f aca="true">IF(S299="Overdue",TODAY()-O299,"")</f>
        <v/>
      </c>
    </row>
    <row r="300" customFormat="false" ht="23.85" hidden="false" customHeight="false" outlineLevel="0" collapsed="false">
      <c r="A300" s="14" t="s">
        <v>970</v>
      </c>
      <c r="B300" s="15" t="s">
        <v>971</v>
      </c>
      <c r="C300" s="14" t="s">
        <v>56</v>
      </c>
      <c r="D300" s="14" t="s">
        <v>81</v>
      </c>
      <c r="E300" s="14" t="s">
        <v>102</v>
      </c>
      <c r="F300" s="15" t="s">
        <v>46</v>
      </c>
      <c r="G300" s="14" t="s">
        <v>41</v>
      </c>
      <c r="H300" s="16" t="n">
        <v>46454</v>
      </c>
      <c r="I300" s="16" t="n">
        <v>46465</v>
      </c>
      <c r="J300" s="16" t="n">
        <v>46486</v>
      </c>
      <c r="K300" s="16" t="n">
        <v>46500</v>
      </c>
      <c r="L300" s="16" t="n">
        <v>46514</v>
      </c>
      <c r="M300" s="16" t="n">
        <v>46521</v>
      </c>
      <c r="N300" s="17"/>
      <c r="O300" s="16" t="n">
        <f aca="false">IF(N300&lt;&gt;"",N300,M300)</f>
        <v>46521</v>
      </c>
      <c r="P300" s="18" t="s">
        <v>31</v>
      </c>
      <c r="Q300" s="19" t="s">
        <v>537</v>
      </c>
      <c r="R300" s="19"/>
      <c r="S300" s="14" t="str">
        <f aca="true">IF(AND(O300&lt;TODAY(),P300&lt;&gt;"Approved",P300&lt;&gt;"Live",P300&lt;&gt;"Not applicable"),"Overdue","")</f>
        <v/>
      </c>
      <c r="T300" s="14" t="str">
        <f aca="true">IF(S300="Overdue",TODAY()-O300,"")</f>
        <v/>
      </c>
    </row>
    <row r="301" customFormat="false" ht="23.85" hidden="false" customHeight="false" outlineLevel="0" collapsed="false">
      <c r="A301" s="14" t="s">
        <v>972</v>
      </c>
      <c r="B301" s="15" t="s">
        <v>973</v>
      </c>
      <c r="C301" s="14" t="s">
        <v>56</v>
      </c>
      <c r="D301" s="14" t="s">
        <v>81</v>
      </c>
      <c r="E301" s="14" t="s">
        <v>102</v>
      </c>
      <c r="F301" s="15" t="s">
        <v>46</v>
      </c>
      <c r="G301" s="14" t="s">
        <v>41</v>
      </c>
      <c r="H301" s="16" t="n">
        <v>46454</v>
      </c>
      <c r="I301" s="16" t="n">
        <v>46465</v>
      </c>
      <c r="J301" s="16" t="n">
        <v>46486</v>
      </c>
      <c r="K301" s="16" t="n">
        <v>46500</v>
      </c>
      <c r="L301" s="16" t="n">
        <v>46514</v>
      </c>
      <c r="M301" s="16" t="n">
        <v>46521</v>
      </c>
      <c r="N301" s="17"/>
      <c r="O301" s="16" t="n">
        <f aca="false">IF(N301&lt;&gt;"",N301,M301)</f>
        <v>46521</v>
      </c>
      <c r="P301" s="18" t="s">
        <v>31</v>
      </c>
      <c r="Q301" s="19" t="s">
        <v>974</v>
      </c>
      <c r="R301" s="19"/>
      <c r="S301" s="14" t="str">
        <f aca="true">IF(AND(O301&lt;TODAY(),P301&lt;&gt;"Approved",P301&lt;&gt;"Live",P301&lt;&gt;"Not applicable"),"Overdue","")</f>
        <v/>
      </c>
      <c r="T301" s="14" t="str">
        <f aca="true">IF(S301="Overdue",TODAY()-O301,"")</f>
        <v/>
      </c>
    </row>
    <row r="302" customFormat="false" ht="23.85" hidden="false" customHeight="false" outlineLevel="0" collapsed="false">
      <c r="A302" s="14" t="s">
        <v>975</v>
      </c>
      <c r="B302" s="15" t="s">
        <v>976</v>
      </c>
      <c r="C302" s="14" t="s">
        <v>57</v>
      </c>
      <c r="D302" s="14" t="s">
        <v>148</v>
      </c>
      <c r="E302" s="14" t="s">
        <v>102</v>
      </c>
      <c r="F302" s="15" t="s">
        <v>50</v>
      </c>
      <c r="G302" s="14" t="s">
        <v>41</v>
      </c>
      <c r="H302" s="16" t="n">
        <v>46454</v>
      </c>
      <c r="I302" s="16" t="n">
        <v>46465</v>
      </c>
      <c r="J302" s="16" t="n">
        <v>46486</v>
      </c>
      <c r="K302" s="16" t="n">
        <v>46500</v>
      </c>
      <c r="L302" s="16" t="n">
        <v>46514</v>
      </c>
      <c r="M302" s="16" t="n">
        <v>46521</v>
      </c>
      <c r="N302" s="17"/>
      <c r="O302" s="16" t="n">
        <f aca="false">IF(N302&lt;&gt;"",N302,M302)</f>
        <v>46521</v>
      </c>
      <c r="P302" s="18" t="s">
        <v>31</v>
      </c>
      <c r="Q302" s="19" t="s">
        <v>977</v>
      </c>
      <c r="R302" s="19"/>
      <c r="S302" s="14" t="str">
        <f aca="true">IF(AND(O302&lt;TODAY(),P302&lt;&gt;"Approved",P302&lt;&gt;"Live",P302&lt;&gt;"Not applicable"),"Overdue","")</f>
        <v/>
      </c>
      <c r="T302" s="14" t="str">
        <f aca="true">IF(S302="Overdue",TODAY()-O302,"")</f>
        <v/>
      </c>
    </row>
    <row r="303" customFormat="false" ht="23.85" hidden="false" customHeight="false" outlineLevel="0" collapsed="false">
      <c r="A303" s="14" t="s">
        <v>978</v>
      </c>
      <c r="B303" s="15" t="s">
        <v>979</v>
      </c>
      <c r="C303" s="14" t="s">
        <v>57</v>
      </c>
      <c r="D303" s="14" t="s">
        <v>170</v>
      </c>
      <c r="E303" s="14" t="s">
        <v>102</v>
      </c>
      <c r="F303" s="15" t="s">
        <v>51</v>
      </c>
      <c r="G303" s="14" t="s">
        <v>41</v>
      </c>
      <c r="H303" s="16" t="n">
        <v>46454</v>
      </c>
      <c r="I303" s="16" t="n">
        <v>46465</v>
      </c>
      <c r="J303" s="16" t="n">
        <v>46486</v>
      </c>
      <c r="K303" s="16" t="n">
        <v>46500</v>
      </c>
      <c r="L303" s="16" t="n">
        <v>46514</v>
      </c>
      <c r="M303" s="16" t="n">
        <v>46521</v>
      </c>
      <c r="N303" s="17"/>
      <c r="O303" s="16" t="n">
        <f aca="false">IF(N303&lt;&gt;"",N303,M303)</f>
        <v>46521</v>
      </c>
      <c r="P303" s="18" t="s">
        <v>31</v>
      </c>
      <c r="Q303" s="19" t="s">
        <v>980</v>
      </c>
      <c r="R303" s="19"/>
      <c r="S303" s="14" t="str">
        <f aca="true">IF(AND(O303&lt;TODAY(),P303&lt;&gt;"Approved",P303&lt;&gt;"Live",P303&lt;&gt;"Not applicable"),"Overdue","")</f>
        <v/>
      </c>
      <c r="T303" s="14" t="str">
        <f aca="true">IF(S303="Overdue",TODAY()-O303,"")</f>
        <v/>
      </c>
    </row>
    <row r="304" customFormat="false" ht="23.85" hidden="false" customHeight="false" outlineLevel="0" collapsed="false">
      <c r="A304" s="14" t="s">
        <v>981</v>
      </c>
      <c r="B304" s="15" t="s">
        <v>982</v>
      </c>
      <c r="C304" s="14" t="s">
        <v>56</v>
      </c>
      <c r="D304" s="14" t="s">
        <v>186</v>
      </c>
      <c r="E304" s="14" t="s">
        <v>102</v>
      </c>
      <c r="F304" s="15" t="s">
        <v>51</v>
      </c>
      <c r="G304" s="14" t="s">
        <v>41</v>
      </c>
      <c r="H304" s="16" t="n">
        <v>46454</v>
      </c>
      <c r="I304" s="16" t="n">
        <v>46465</v>
      </c>
      <c r="J304" s="16" t="n">
        <v>46486</v>
      </c>
      <c r="K304" s="16" t="n">
        <v>46500</v>
      </c>
      <c r="L304" s="16" t="n">
        <v>46514</v>
      </c>
      <c r="M304" s="16" t="n">
        <v>46521</v>
      </c>
      <c r="N304" s="17"/>
      <c r="O304" s="16" t="n">
        <f aca="false">IF(N304&lt;&gt;"",N304,M304)</f>
        <v>46521</v>
      </c>
      <c r="P304" s="18" t="s">
        <v>31</v>
      </c>
      <c r="Q304" s="19" t="s">
        <v>983</v>
      </c>
      <c r="R304" s="19"/>
      <c r="S304" s="14" t="str">
        <f aca="true">IF(AND(O304&lt;TODAY(),P304&lt;&gt;"Approved",P304&lt;&gt;"Live",P304&lt;&gt;"Not applicable"),"Overdue","")</f>
        <v/>
      </c>
      <c r="T304" s="14" t="str">
        <f aca="true">IF(S304="Overdue",TODAY()-O304,"")</f>
        <v/>
      </c>
    </row>
    <row r="305" customFormat="false" ht="15" hidden="false" customHeight="false" outlineLevel="0" collapsed="false">
      <c r="A305" s="14" t="s">
        <v>984</v>
      </c>
      <c r="B305" s="15" t="s">
        <v>985</v>
      </c>
      <c r="C305" s="14" t="s">
        <v>56</v>
      </c>
      <c r="D305" s="14" t="s">
        <v>186</v>
      </c>
      <c r="E305" s="14" t="s">
        <v>102</v>
      </c>
      <c r="F305" s="15" t="s">
        <v>51</v>
      </c>
      <c r="G305" s="14" t="s">
        <v>41</v>
      </c>
      <c r="H305" s="16" t="n">
        <v>46454</v>
      </c>
      <c r="I305" s="16" t="n">
        <v>46465</v>
      </c>
      <c r="J305" s="16" t="n">
        <v>46486</v>
      </c>
      <c r="K305" s="16" t="n">
        <v>46500</v>
      </c>
      <c r="L305" s="16" t="n">
        <v>46514</v>
      </c>
      <c r="M305" s="16" t="n">
        <v>46521</v>
      </c>
      <c r="N305" s="17"/>
      <c r="O305" s="16" t="n">
        <f aca="false">IF(N305&lt;&gt;"",N305,M305)</f>
        <v>46521</v>
      </c>
      <c r="P305" s="18" t="s">
        <v>31</v>
      </c>
      <c r="Q305" s="19" t="s">
        <v>986</v>
      </c>
      <c r="R305" s="19"/>
      <c r="S305" s="14" t="str">
        <f aca="true">IF(AND(O305&lt;TODAY(),P305&lt;&gt;"Approved",P305&lt;&gt;"Live",P305&lt;&gt;"Not applicable"),"Overdue","")</f>
        <v/>
      </c>
      <c r="T305" s="14" t="str">
        <f aca="true">IF(S305="Overdue",TODAY()-O305,"")</f>
        <v/>
      </c>
    </row>
    <row r="306" customFormat="false" ht="23.85" hidden="false" customHeight="false" outlineLevel="0" collapsed="false">
      <c r="A306" s="14" t="s">
        <v>987</v>
      </c>
      <c r="B306" s="15" t="s">
        <v>988</v>
      </c>
      <c r="C306" s="14" t="s">
        <v>56</v>
      </c>
      <c r="D306" s="14" t="s">
        <v>282</v>
      </c>
      <c r="E306" s="14" t="s">
        <v>102</v>
      </c>
      <c r="F306" s="15" t="s">
        <v>49</v>
      </c>
      <c r="G306" s="14" t="s">
        <v>41</v>
      </c>
      <c r="H306" s="16" t="n">
        <v>46454</v>
      </c>
      <c r="I306" s="16" t="n">
        <v>46465</v>
      </c>
      <c r="J306" s="16" t="n">
        <v>46486</v>
      </c>
      <c r="K306" s="16" t="n">
        <v>46500</v>
      </c>
      <c r="L306" s="16" t="n">
        <v>46514</v>
      </c>
      <c r="M306" s="16" t="n">
        <v>46521</v>
      </c>
      <c r="N306" s="17"/>
      <c r="O306" s="16" t="n">
        <f aca="false">IF(N306&lt;&gt;"",N306,M306)</f>
        <v>46521</v>
      </c>
      <c r="P306" s="18" t="s">
        <v>31</v>
      </c>
      <c r="Q306" s="19" t="s">
        <v>445</v>
      </c>
      <c r="R306" s="19"/>
      <c r="S306" s="14" t="str">
        <f aca="true">IF(AND(O306&lt;TODAY(),P306&lt;&gt;"Approved",P306&lt;&gt;"Live",P306&lt;&gt;"Not applicable"),"Overdue","")</f>
        <v/>
      </c>
      <c r="T306" s="14" t="str">
        <f aca="true">IF(S306="Overdue",TODAY()-O306,"")</f>
        <v/>
      </c>
    </row>
    <row r="307" customFormat="false" ht="15" hidden="false" customHeight="false" outlineLevel="0" collapsed="false">
      <c r="A307" s="14" t="s">
        <v>989</v>
      </c>
      <c r="B307" s="15" t="s">
        <v>990</v>
      </c>
      <c r="C307" s="14" t="s">
        <v>57</v>
      </c>
      <c r="D307" s="14" t="s">
        <v>170</v>
      </c>
      <c r="E307" s="14" t="s">
        <v>102</v>
      </c>
      <c r="F307" s="15" t="s">
        <v>51</v>
      </c>
      <c r="G307" s="14" t="s">
        <v>41</v>
      </c>
      <c r="H307" s="16" t="n">
        <v>46454</v>
      </c>
      <c r="I307" s="16" t="n">
        <v>46465</v>
      </c>
      <c r="J307" s="16" t="n">
        <v>46486</v>
      </c>
      <c r="K307" s="16" t="n">
        <v>46500</v>
      </c>
      <c r="L307" s="16" t="n">
        <v>46514</v>
      </c>
      <c r="M307" s="16" t="n">
        <v>46521</v>
      </c>
      <c r="N307" s="17"/>
      <c r="O307" s="16" t="n">
        <f aca="false">IF(N307&lt;&gt;"",N307,M307)</f>
        <v>46521</v>
      </c>
      <c r="P307" s="18" t="s">
        <v>31</v>
      </c>
      <c r="Q307" s="19" t="s">
        <v>991</v>
      </c>
      <c r="R307" s="19"/>
      <c r="S307" s="14" t="str">
        <f aca="true">IF(AND(O307&lt;TODAY(),P307&lt;&gt;"Approved",P307&lt;&gt;"Live",P307&lt;&gt;"Not applicable"),"Overdue","")</f>
        <v/>
      </c>
      <c r="T307" s="14" t="str">
        <f aca="true">IF(S307="Overdue",TODAY()-O307,"")</f>
        <v/>
      </c>
    </row>
    <row r="308" customFormat="false" ht="15" hidden="false" customHeight="false" outlineLevel="0" collapsed="false">
      <c r="A308" s="14" t="s">
        <v>992</v>
      </c>
      <c r="B308" s="15" t="s">
        <v>993</v>
      </c>
      <c r="C308" s="14" t="s">
        <v>57</v>
      </c>
      <c r="D308" s="14" t="s">
        <v>170</v>
      </c>
      <c r="E308" s="14" t="s">
        <v>102</v>
      </c>
      <c r="F308" s="15" t="s">
        <v>51</v>
      </c>
      <c r="G308" s="14" t="s">
        <v>41</v>
      </c>
      <c r="H308" s="16" t="n">
        <v>46454</v>
      </c>
      <c r="I308" s="16" t="n">
        <v>46465</v>
      </c>
      <c r="J308" s="16" t="n">
        <v>46486</v>
      </c>
      <c r="K308" s="16" t="n">
        <v>46500</v>
      </c>
      <c r="L308" s="16" t="n">
        <v>46514</v>
      </c>
      <c r="M308" s="16" t="n">
        <v>46521</v>
      </c>
      <c r="N308" s="17"/>
      <c r="O308" s="16" t="n">
        <f aca="false">IF(N308&lt;&gt;"",N308,M308)</f>
        <v>46521</v>
      </c>
      <c r="P308" s="18" t="s">
        <v>31</v>
      </c>
      <c r="Q308" s="19" t="s">
        <v>994</v>
      </c>
      <c r="R308" s="19"/>
      <c r="S308" s="14" t="str">
        <f aca="true">IF(AND(O308&lt;TODAY(),P308&lt;&gt;"Approved",P308&lt;&gt;"Live",P308&lt;&gt;"Not applicable"),"Overdue","")</f>
        <v/>
      </c>
      <c r="T308" s="14" t="str">
        <f aca="true">IF(S308="Overdue",TODAY()-O308,"")</f>
        <v/>
      </c>
    </row>
    <row r="309" customFormat="false" ht="23.85" hidden="false" customHeight="false" outlineLevel="0" collapsed="false">
      <c r="A309" s="14" t="s">
        <v>995</v>
      </c>
      <c r="B309" s="15" t="s">
        <v>996</v>
      </c>
      <c r="C309" s="14" t="s">
        <v>57</v>
      </c>
      <c r="D309" s="14" t="s">
        <v>282</v>
      </c>
      <c r="E309" s="14" t="s">
        <v>102</v>
      </c>
      <c r="F309" s="15" t="s">
        <v>49</v>
      </c>
      <c r="G309" s="14" t="s">
        <v>41</v>
      </c>
      <c r="H309" s="16" t="n">
        <v>46454</v>
      </c>
      <c r="I309" s="16" t="n">
        <v>46465</v>
      </c>
      <c r="J309" s="16" t="n">
        <v>46486</v>
      </c>
      <c r="K309" s="16" t="n">
        <v>46500</v>
      </c>
      <c r="L309" s="16" t="n">
        <v>46514</v>
      </c>
      <c r="M309" s="16" t="n">
        <v>46521</v>
      </c>
      <c r="N309" s="17"/>
      <c r="O309" s="16" t="n">
        <f aca="false">IF(N309&lt;&gt;"",N309,M309)</f>
        <v>46521</v>
      </c>
      <c r="P309" s="18" t="s">
        <v>31</v>
      </c>
      <c r="Q309" s="19" t="s">
        <v>997</v>
      </c>
      <c r="R309" s="19"/>
      <c r="S309" s="14" t="str">
        <f aca="true">IF(AND(O309&lt;TODAY(),P309&lt;&gt;"Approved",P309&lt;&gt;"Live",P309&lt;&gt;"Not applicable"),"Overdue","")</f>
        <v/>
      </c>
      <c r="T309" s="14" t="str">
        <f aca="true">IF(S309="Overdue",TODAY()-O309,"")</f>
        <v/>
      </c>
    </row>
    <row r="310" customFormat="false" ht="15" hidden="false" customHeight="false" outlineLevel="0" collapsed="false">
      <c r="A310" s="14" t="s">
        <v>998</v>
      </c>
      <c r="B310" s="15" t="s">
        <v>999</v>
      </c>
      <c r="C310" s="14" t="s">
        <v>56</v>
      </c>
      <c r="D310" s="14" t="s">
        <v>203</v>
      </c>
      <c r="E310" s="14" t="s">
        <v>102</v>
      </c>
      <c r="F310" s="15" t="s">
        <v>49</v>
      </c>
      <c r="G310" s="14" t="s">
        <v>41</v>
      </c>
      <c r="H310" s="16" t="n">
        <v>46454</v>
      </c>
      <c r="I310" s="16" t="n">
        <v>46465</v>
      </c>
      <c r="J310" s="16" t="n">
        <v>46486</v>
      </c>
      <c r="K310" s="16" t="n">
        <v>46500</v>
      </c>
      <c r="L310" s="16" t="n">
        <v>46514</v>
      </c>
      <c r="M310" s="16" t="n">
        <v>46521</v>
      </c>
      <c r="N310" s="17"/>
      <c r="O310" s="16" t="n">
        <f aca="false">IF(N310&lt;&gt;"",N310,M310)</f>
        <v>46521</v>
      </c>
      <c r="P310" s="18" t="s">
        <v>31</v>
      </c>
      <c r="Q310" s="19" t="s">
        <v>421</v>
      </c>
      <c r="R310" s="19"/>
      <c r="S310" s="14" t="str">
        <f aca="true">IF(AND(O310&lt;TODAY(),P310&lt;&gt;"Approved",P310&lt;&gt;"Live",P310&lt;&gt;"Not applicable"),"Overdue","")</f>
        <v/>
      </c>
      <c r="T310" s="14" t="str">
        <f aca="true">IF(S310="Overdue",TODAY()-O310,"")</f>
        <v/>
      </c>
    </row>
    <row r="311" customFormat="false" ht="15" hidden="false" customHeight="false" outlineLevel="0" collapsed="false">
      <c r="A311" s="14" t="s">
        <v>1000</v>
      </c>
      <c r="B311" s="15" t="s">
        <v>1001</v>
      </c>
      <c r="C311" s="14" t="s">
        <v>57</v>
      </c>
      <c r="D311" s="14" t="s">
        <v>203</v>
      </c>
      <c r="E311" s="14" t="s">
        <v>102</v>
      </c>
      <c r="F311" s="15" t="s">
        <v>49</v>
      </c>
      <c r="G311" s="14" t="s">
        <v>41</v>
      </c>
      <c r="H311" s="16" t="n">
        <v>46454</v>
      </c>
      <c r="I311" s="16" t="n">
        <v>46465</v>
      </c>
      <c r="J311" s="16" t="n">
        <v>46486</v>
      </c>
      <c r="K311" s="16" t="n">
        <v>46500</v>
      </c>
      <c r="L311" s="16" t="n">
        <v>46514</v>
      </c>
      <c r="M311" s="16" t="n">
        <v>46521</v>
      </c>
      <c r="N311" s="17"/>
      <c r="O311" s="16" t="n">
        <f aca="false">IF(N311&lt;&gt;"",N311,M311)</f>
        <v>46521</v>
      </c>
      <c r="P311" s="18" t="s">
        <v>31</v>
      </c>
      <c r="Q311" s="19" t="s">
        <v>1002</v>
      </c>
      <c r="R311" s="19"/>
      <c r="S311" s="14" t="str">
        <f aca="true">IF(AND(O311&lt;TODAY(),P311&lt;&gt;"Approved",P311&lt;&gt;"Live",P311&lt;&gt;"Not applicable"),"Overdue","")</f>
        <v/>
      </c>
      <c r="T311" s="14" t="str">
        <f aca="true">IF(S311="Overdue",TODAY()-O311,"")</f>
        <v/>
      </c>
    </row>
    <row r="312" customFormat="false" ht="23.85" hidden="false" customHeight="false" outlineLevel="0" collapsed="false">
      <c r="A312" s="14" t="s">
        <v>1003</v>
      </c>
      <c r="B312" s="15" t="s">
        <v>1004</v>
      </c>
      <c r="C312" s="14" t="s">
        <v>56</v>
      </c>
      <c r="D312" s="14" t="s">
        <v>282</v>
      </c>
      <c r="E312" s="14" t="s">
        <v>102</v>
      </c>
      <c r="F312" s="15" t="s">
        <v>49</v>
      </c>
      <c r="G312" s="14" t="s">
        <v>41</v>
      </c>
      <c r="H312" s="16" t="n">
        <v>46454</v>
      </c>
      <c r="I312" s="16" t="n">
        <v>46465</v>
      </c>
      <c r="J312" s="16" t="n">
        <v>46486</v>
      </c>
      <c r="K312" s="16" t="n">
        <v>46500</v>
      </c>
      <c r="L312" s="16" t="n">
        <v>46514</v>
      </c>
      <c r="M312" s="16" t="n">
        <v>46521</v>
      </c>
      <c r="N312" s="17"/>
      <c r="O312" s="16" t="n">
        <f aca="false">IF(N312&lt;&gt;"",N312,M312)</f>
        <v>46521</v>
      </c>
      <c r="P312" s="18" t="s">
        <v>31</v>
      </c>
      <c r="Q312" s="19" t="s">
        <v>1005</v>
      </c>
      <c r="R312" s="19"/>
      <c r="S312" s="14" t="str">
        <f aca="true">IF(AND(O312&lt;TODAY(),P312&lt;&gt;"Approved",P312&lt;&gt;"Live",P312&lt;&gt;"Not applicable"),"Overdue","")</f>
        <v/>
      </c>
      <c r="T312" s="14" t="str">
        <f aca="true">IF(S312="Overdue",TODAY()-O312,"")</f>
        <v/>
      </c>
    </row>
    <row r="313" customFormat="false" ht="23.85" hidden="false" customHeight="false" outlineLevel="0" collapsed="false">
      <c r="A313" s="14" t="s">
        <v>1006</v>
      </c>
      <c r="B313" s="15" t="s">
        <v>1007</v>
      </c>
      <c r="C313" s="14" t="s">
        <v>56</v>
      </c>
      <c r="D313" s="14" t="s">
        <v>203</v>
      </c>
      <c r="E313" s="14" t="s">
        <v>102</v>
      </c>
      <c r="F313" s="15" t="s">
        <v>49</v>
      </c>
      <c r="G313" s="14" t="s">
        <v>41</v>
      </c>
      <c r="H313" s="16" t="n">
        <v>46454</v>
      </c>
      <c r="I313" s="16" t="n">
        <v>46465</v>
      </c>
      <c r="J313" s="16" t="n">
        <v>46486</v>
      </c>
      <c r="K313" s="16" t="n">
        <v>46500</v>
      </c>
      <c r="L313" s="16" t="n">
        <v>46514</v>
      </c>
      <c r="M313" s="16" t="n">
        <v>46521</v>
      </c>
      <c r="N313" s="17"/>
      <c r="O313" s="16" t="n">
        <f aca="false">IF(N313&lt;&gt;"",N313,M313)</f>
        <v>46521</v>
      </c>
      <c r="P313" s="18" t="s">
        <v>31</v>
      </c>
      <c r="Q313" s="19" t="s">
        <v>1008</v>
      </c>
      <c r="R313" s="19"/>
      <c r="S313" s="14" t="str">
        <f aca="true">IF(AND(O313&lt;TODAY(),P313&lt;&gt;"Approved",P313&lt;&gt;"Live",P313&lt;&gt;"Not applicable"),"Overdue","")</f>
        <v/>
      </c>
      <c r="T313" s="14" t="str">
        <f aca="true">IF(S313="Overdue",TODAY()-O313,"")</f>
        <v/>
      </c>
    </row>
    <row r="314" customFormat="false" ht="15" hidden="false" customHeight="false" outlineLevel="0" collapsed="false">
      <c r="A314" s="14" t="s">
        <v>1009</v>
      </c>
      <c r="B314" s="15" t="s">
        <v>1010</v>
      </c>
      <c r="C314" s="14" t="s">
        <v>56</v>
      </c>
      <c r="D314" s="14" t="s">
        <v>109</v>
      </c>
      <c r="E314" s="14" t="s">
        <v>102</v>
      </c>
      <c r="F314" s="15" t="s">
        <v>47</v>
      </c>
      <c r="G314" s="14" t="s">
        <v>41</v>
      </c>
      <c r="H314" s="16" t="n">
        <v>46454</v>
      </c>
      <c r="I314" s="16" t="n">
        <v>46465</v>
      </c>
      <c r="J314" s="16" t="n">
        <v>46486</v>
      </c>
      <c r="K314" s="16" t="n">
        <v>46500</v>
      </c>
      <c r="L314" s="16" t="n">
        <v>46514</v>
      </c>
      <c r="M314" s="16" t="n">
        <v>46521</v>
      </c>
      <c r="N314" s="17"/>
      <c r="O314" s="16" t="n">
        <f aca="false">IF(N314&lt;&gt;"",N314,M314)</f>
        <v>46521</v>
      </c>
      <c r="P314" s="18" t="s">
        <v>31</v>
      </c>
      <c r="Q314" s="19" t="s">
        <v>1011</v>
      </c>
      <c r="R314" s="19"/>
      <c r="S314" s="14" t="str">
        <f aca="true">IF(AND(O314&lt;TODAY(),P314&lt;&gt;"Approved",P314&lt;&gt;"Live",P314&lt;&gt;"Not applicable"),"Overdue","")</f>
        <v/>
      </c>
      <c r="T314" s="14" t="str">
        <f aca="true">IF(S314="Overdue",TODAY()-O314,"")</f>
        <v/>
      </c>
    </row>
    <row r="315" customFormat="false" ht="23.85" hidden="false" customHeight="false" outlineLevel="0" collapsed="false">
      <c r="A315" s="14" t="s">
        <v>1012</v>
      </c>
      <c r="B315" s="15" t="s">
        <v>1013</v>
      </c>
      <c r="C315" s="14" t="s">
        <v>56</v>
      </c>
      <c r="D315" s="14" t="s">
        <v>190</v>
      </c>
      <c r="E315" s="14" t="s">
        <v>102</v>
      </c>
      <c r="F315" s="15" t="s">
        <v>48</v>
      </c>
      <c r="G315" s="14" t="s">
        <v>41</v>
      </c>
      <c r="H315" s="16" t="n">
        <v>46454</v>
      </c>
      <c r="I315" s="16" t="n">
        <v>46465</v>
      </c>
      <c r="J315" s="16" t="n">
        <v>46486</v>
      </c>
      <c r="K315" s="16" t="n">
        <v>46500</v>
      </c>
      <c r="L315" s="16" t="n">
        <v>46514</v>
      </c>
      <c r="M315" s="16" t="n">
        <v>46521</v>
      </c>
      <c r="N315" s="17"/>
      <c r="O315" s="16" t="n">
        <f aca="false">IF(N315&lt;&gt;"",N315,M315)</f>
        <v>46521</v>
      </c>
      <c r="P315" s="18" t="s">
        <v>31</v>
      </c>
      <c r="Q315" s="19" t="s">
        <v>1014</v>
      </c>
      <c r="R315" s="19"/>
      <c r="S315" s="14" t="str">
        <f aca="true">IF(AND(O315&lt;TODAY(),P315&lt;&gt;"Approved",P315&lt;&gt;"Live",P315&lt;&gt;"Not applicable"),"Overdue","")</f>
        <v/>
      </c>
      <c r="T315" s="14" t="str">
        <f aca="true">IF(S315="Overdue",TODAY()-O315,"")</f>
        <v/>
      </c>
    </row>
    <row r="316" customFormat="false" ht="23.85" hidden="false" customHeight="false" outlineLevel="0" collapsed="false">
      <c r="A316" s="14" t="s">
        <v>1015</v>
      </c>
      <c r="B316" s="15" t="s">
        <v>1016</v>
      </c>
      <c r="C316" s="14" t="s">
        <v>57</v>
      </c>
      <c r="D316" s="14" t="s">
        <v>190</v>
      </c>
      <c r="E316" s="14" t="s">
        <v>102</v>
      </c>
      <c r="F316" s="15" t="s">
        <v>48</v>
      </c>
      <c r="G316" s="14" t="s">
        <v>41</v>
      </c>
      <c r="H316" s="16" t="n">
        <v>46454</v>
      </c>
      <c r="I316" s="16" t="n">
        <v>46465</v>
      </c>
      <c r="J316" s="16" t="n">
        <v>46486</v>
      </c>
      <c r="K316" s="16" t="n">
        <v>46500</v>
      </c>
      <c r="L316" s="16" t="n">
        <v>46514</v>
      </c>
      <c r="M316" s="16" t="n">
        <v>46521</v>
      </c>
      <c r="N316" s="17"/>
      <c r="O316" s="16" t="n">
        <f aca="false">IF(N316&lt;&gt;"",N316,M316)</f>
        <v>46521</v>
      </c>
      <c r="P316" s="18" t="s">
        <v>31</v>
      </c>
      <c r="Q316" s="19" t="s">
        <v>1008</v>
      </c>
      <c r="R316" s="19"/>
      <c r="S316" s="14" t="str">
        <f aca="true">IF(AND(O316&lt;TODAY(),P316&lt;&gt;"Approved",P316&lt;&gt;"Live",P316&lt;&gt;"Not applicable"),"Overdue","")</f>
        <v/>
      </c>
      <c r="T316" s="14" t="str">
        <f aca="true">IF(S316="Overdue",TODAY()-O316,"")</f>
        <v/>
      </c>
    </row>
    <row r="317" customFormat="false" ht="23.85" hidden="false" customHeight="false" outlineLevel="0" collapsed="false">
      <c r="A317" s="14" t="s">
        <v>1017</v>
      </c>
      <c r="B317" s="15" t="s">
        <v>1018</v>
      </c>
      <c r="C317" s="14" t="s">
        <v>57</v>
      </c>
      <c r="D317" s="14" t="s">
        <v>222</v>
      </c>
      <c r="E317" s="14" t="s">
        <v>102</v>
      </c>
      <c r="F317" s="15" t="s">
        <v>48</v>
      </c>
      <c r="G317" s="14" t="s">
        <v>41</v>
      </c>
      <c r="H317" s="16" t="n">
        <v>46454</v>
      </c>
      <c r="I317" s="16" t="n">
        <v>46465</v>
      </c>
      <c r="J317" s="16" t="n">
        <v>46486</v>
      </c>
      <c r="K317" s="16" t="n">
        <v>46500</v>
      </c>
      <c r="L317" s="16" t="n">
        <v>46514</v>
      </c>
      <c r="M317" s="16" t="n">
        <v>46521</v>
      </c>
      <c r="N317" s="17"/>
      <c r="O317" s="16" t="n">
        <f aca="false">IF(N317&lt;&gt;"",N317,M317)</f>
        <v>46521</v>
      </c>
      <c r="P317" s="18" t="s">
        <v>31</v>
      </c>
      <c r="Q317" s="19" t="s">
        <v>945</v>
      </c>
      <c r="R317" s="19"/>
      <c r="S317" s="14" t="str">
        <f aca="true">IF(AND(O317&lt;TODAY(),P317&lt;&gt;"Approved",P317&lt;&gt;"Live",P317&lt;&gt;"Not applicable"),"Overdue","")</f>
        <v/>
      </c>
      <c r="T317" s="14" t="str">
        <f aca="true">IF(S317="Overdue",TODAY()-O317,"")</f>
        <v/>
      </c>
    </row>
    <row r="318" customFormat="false" ht="35.05" hidden="false" customHeight="false" outlineLevel="0" collapsed="false">
      <c r="A318" s="14" t="s">
        <v>1019</v>
      </c>
      <c r="B318" s="15" t="s">
        <v>1020</v>
      </c>
      <c r="C318" s="14" t="s">
        <v>55</v>
      </c>
      <c r="D318" s="14" t="s">
        <v>203</v>
      </c>
      <c r="E318" s="14" t="s">
        <v>102</v>
      </c>
      <c r="F318" s="15" t="s">
        <v>49</v>
      </c>
      <c r="G318" s="14" t="s">
        <v>42</v>
      </c>
      <c r="H318" s="16" t="n">
        <v>46524</v>
      </c>
      <c r="I318" s="16" t="n">
        <v>46535</v>
      </c>
      <c r="J318" s="16" t="n">
        <v>46556</v>
      </c>
      <c r="K318" s="16" t="n">
        <v>46570</v>
      </c>
      <c r="L318" s="16" t="n">
        <v>46584</v>
      </c>
      <c r="M318" s="16" t="n">
        <v>46591</v>
      </c>
      <c r="N318" s="17"/>
      <c r="O318" s="16" t="n">
        <f aca="false">IF(N318&lt;&gt;"",N318,M318)</f>
        <v>46591</v>
      </c>
      <c r="P318" s="18" t="s">
        <v>31</v>
      </c>
      <c r="Q318" s="19" t="s">
        <v>1021</v>
      </c>
      <c r="R318" s="19"/>
      <c r="S318" s="14" t="str">
        <f aca="true">IF(AND(O318&lt;TODAY(),P318&lt;&gt;"Approved",P318&lt;&gt;"Live",P318&lt;&gt;"Not applicable"),"Overdue","")</f>
        <v/>
      </c>
      <c r="T318" s="14" t="str">
        <f aca="true">IF(S318="Overdue",TODAY()-O318,"")</f>
        <v/>
      </c>
    </row>
    <row r="319" customFormat="false" ht="35.05" hidden="false" customHeight="false" outlineLevel="0" collapsed="false">
      <c r="A319" s="14" t="s">
        <v>1022</v>
      </c>
      <c r="B319" s="15" t="s">
        <v>1023</v>
      </c>
      <c r="C319" s="14" t="s">
        <v>55</v>
      </c>
      <c r="D319" s="14" t="s">
        <v>203</v>
      </c>
      <c r="E319" s="14" t="s">
        <v>102</v>
      </c>
      <c r="F319" s="15" t="s">
        <v>49</v>
      </c>
      <c r="G319" s="14" t="s">
        <v>42</v>
      </c>
      <c r="H319" s="16" t="n">
        <v>46524</v>
      </c>
      <c r="I319" s="16" t="n">
        <v>46535</v>
      </c>
      <c r="J319" s="16" t="n">
        <v>46556</v>
      </c>
      <c r="K319" s="16" t="n">
        <v>46570</v>
      </c>
      <c r="L319" s="16" t="n">
        <v>46584</v>
      </c>
      <c r="M319" s="16" t="n">
        <v>46591</v>
      </c>
      <c r="N319" s="17"/>
      <c r="O319" s="16" t="n">
        <f aca="false">IF(N319&lt;&gt;"",N319,M319)</f>
        <v>46591</v>
      </c>
      <c r="P319" s="18" t="s">
        <v>31</v>
      </c>
      <c r="Q319" s="19" t="s">
        <v>1024</v>
      </c>
      <c r="R319" s="19"/>
      <c r="S319" s="14" t="str">
        <f aca="true">IF(AND(O319&lt;TODAY(),P319&lt;&gt;"Approved",P319&lt;&gt;"Live",P319&lt;&gt;"Not applicable"),"Overdue","")</f>
        <v/>
      </c>
      <c r="T319" s="14" t="str">
        <f aca="true">IF(S319="Overdue",TODAY()-O319,"")</f>
        <v/>
      </c>
    </row>
    <row r="320" customFormat="false" ht="46.25" hidden="false" customHeight="false" outlineLevel="0" collapsed="false">
      <c r="A320" s="14" t="s">
        <v>1025</v>
      </c>
      <c r="B320" s="15" t="s">
        <v>1026</v>
      </c>
      <c r="C320" s="14" t="s">
        <v>55</v>
      </c>
      <c r="D320" s="14" t="s">
        <v>203</v>
      </c>
      <c r="E320" s="14" t="s">
        <v>102</v>
      </c>
      <c r="F320" s="15" t="s">
        <v>49</v>
      </c>
      <c r="G320" s="14" t="s">
        <v>42</v>
      </c>
      <c r="H320" s="16" t="n">
        <v>46524</v>
      </c>
      <c r="I320" s="16" t="n">
        <v>46535</v>
      </c>
      <c r="J320" s="16" t="n">
        <v>46556</v>
      </c>
      <c r="K320" s="16" t="n">
        <v>46570</v>
      </c>
      <c r="L320" s="16" t="n">
        <v>46584</v>
      </c>
      <c r="M320" s="16" t="n">
        <v>46591</v>
      </c>
      <c r="N320" s="17"/>
      <c r="O320" s="16" t="n">
        <f aca="false">IF(N320&lt;&gt;"",N320,M320)</f>
        <v>46591</v>
      </c>
      <c r="P320" s="18" t="s">
        <v>31</v>
      </c>
      <c r="Q320" s="19" t="s">
        <v>1027</v>
      </c>
      <c r="R320" s="19"/>
      <c r="S320" s="14" t="str">
        <f aca="true">IF(AND(O320&lt;TODAY(),P320&lt;&gt;"Approved",P320&lt;&gt;"Live",P320&lt;&gt;"Not applicable"),"Overdue","")</f>
        <v/>
      </c>
      <c r="T320" s="14" t="str">
        <f aca="true">IF(S320="Overdue",TODAY()-O320,"")</f>
        <v/>
      </c>
    </row>
    <row r="321" customFormat="false" ht="46.25" hidden="false" customHeight="false" outlineLevel="0" collapsed="false">
      <c r="A321" s="14" t="s">
        <v>1028</v>
      </c>
      <c r="B321" s="15" t="s">
        <v>1029</v>
      </c>
      <c r="C321" s="14" t="s">
        <v>55</v>
      </c>
      <c r="D321" s="14" t="s">
        <v>163</v>
      </c>
      <c r="E321" s="14" t="s">
        <v>102</v>
      </c>
      <c r="F321" s="15" t="s">
        <v>48</v>
      </c>
      <c r="G321" s="14" t="s">
        <v>42</v>
      </c>
      <c r="H321" s="16" t="n">
        <v>46524</v>
      </c>
      <c r="I321" s="16" t="n">
        <v>46535</v>
      </c>
      <c r="J321" s="16" t="n">
        <v>46556</v>
      </c>
      <c r="K321" s="16" t="n">
        <v>46570</v>
      </c>
      <c r="L321" s="16" t="n">
        <v>46584</v>
      </c>
      <c r="M321" s="16" t="n">
        <v>46591</v>
      </c>
      <c r="N321" s="17"/>
      <c r="O321" s="16" t="n">
        <f aca="false">IF(N321&lt;&gt;"",N321,M321)</f>
        <v>46591</v>
      </c>
      <c r="P321" s="18" t="s">
        <v>31</v>
      </c>
      <c r="Q321" s="19" t="s">
        <v>1030</v>
      </c>
      <c r="R321" s="19"/>
      <c r="S321" s="14" t="str">
        <f aca="true">IF(AND(O321&lt;TODAY(),P321&lt;&gt;"Approved",P321&lt;&gt;"Live",P321&lt;&gt;"Not applicable"),"Overdue","")</f>
        <v/>
      </c>
      <c r="T321" s="14" t="str">
        <f aca="true">IF(S321="Overdue",TODAY()-O321,"")</f>
        <v/>
      </c>
    </row>
    <row r="322" customFormat="false" ht="35.05" hidden="false" customHeight="false" outlineLevel="0" collapsed="false">
      <c r="A322" s="14" t="s">
        <v>1031</v>
      </c>
      <c r="B322" s="15" t="s">
        <v>1032</v>
      </c>
      <c r="C322" s="14" t="s">
        <v>55</v>
      </c>
      <c r="D322" s="14" t="s">
        <v>163</v>
      </c>
      <c r="E322" s="14" t="s">
        <v>102</v>
      </c>
      <c r="F322" s="15" t="s">
        <v>48</v>
      </c>
      <c r="G322" s="14" t="s">
        <v>42</v>
      </c>
      <c r="H322" s="16" t="n">
        <v>46524</v>
      </c>
      <c r="I322" s="16" t="n">
        <v>46535</v>
      </c>
      <c r="J322" s="16" t="n">
        <v>46556</v>
      </c>
      <c r="K322" s="16" t="n">
        <v>46570</v>
      </c>
      <c r="L322" s="16" t="n">
        <v>46584</v>
      </c>
      <c r="M322" s="16" t="n">
        <v>46591</v>
      </c>
      <c r="N322" s="17"/>
      <c r="O322" s="16" t="n">
        <f aca="false">IF(N322&lt;&gt;"",N322,M322)</f>
        <v>46591</v>
      </c>
      <c r="P322" s="18" t="s">
        <v>31</v>
      </c>
      <c r="Q322" s="19" t="s">
        <v>1033</v>
      </c>
      <c r="R322" s="19"/>
      <c r="S322" s="14" t="str">
        <f aca="true">IF(AND(O322&lt;TODAY(),P322&lt;&gt;"Approved",P322&lt;&gt;"Live",P322&lt;&gt;"Not applicable"),"Overdue","")</f>
        <v/>
      </c>
      <c r="T322" s="14" t="str">
        <f aca="true">IF(S322="Overdue",TODAY()-O322,"")</f>
        <v/>
      </c>
    </row>
    <row r="323" customFormat="false" ht="35.05" hidden="false" customHeight="false" outlineLevel="0" collapsed="false">
      <c r="A323" s="14" t="s">
        <v>1034</v>
      </c>
      <c r="B323" s="15" t="s">
        <v>1035</v>
      </c>
      <c r="C323" s="14" t="s">
        <v>55</v>
      </c>
      <c r="D323" s="14" t="s">
        <v>163</v>
      </c>
      <c r="E323" s="14" t="s">
        <v>102</v>
      </c>
      <c r="F323" s="15" t="s">
        <v>48</v>
      </c>
      <c r="G323" s="14" t="s">
        <v>42</v>
      </c>
      <c r="H323" s="16" t="n">
        <v>46524</v>
      </c>
      <c r="I323" s="16" t="n">
        <v>46535</v>
      </c>
      <c r="J323" s="16" t="n">
        <v>46556</v>
      </c>
      <c r="K323" s="16" t="n">
        <v>46570</v>
      </c>
      <c r="L323" s="16" t="n">
        <v>46584</v>
      </c>
      <c r="M323" s="16" t="n">
        <v>46591</v>
      </c>
      <c r="N323" s="17"/>
      <c r="O323" s="16" t="n">
        <f aca="false">IF(N323&lt;&gt;"",N323,M323)</f>
        <v>46591</v>
      </c>
      <c r="P323" s="18" t="s">
        <v>31</v>
      </c>
      <c r="Q323" s="19" t="s">
        <v>1036</v>
      </c>
      <c r="R323" s="19"/>
      <c r="S323" s="14" t="str">
        <f aca="true">IF(AND(O323&lt;TODAY(),P323&lt;&gt;"Approved",P323&lt;&gt;"Live",P323&lt;&gt;"Not applicable"),"Overdue","")</f>
        <v/>
      </c>
      <c r="T323" s="14" t="str">
        <f aca="true">IF(S323="Overdue",TODAY()-O323,"")</f>
        <v/>
      </c>
    </row>
    <row r="324" customFormat="false" ht="35.05" hidden="false" customHeight="false" outlineLevel="0" collapsed="false">
      <c r="A324" s="14" t="s">
        <v>1037</v>
      </c>
      <c r="B324" s="15" t="s">
        <v>1038</v>
      </c>
      <c r="C324" s="14" t="s">
        <v>55</v>
      </c>
      <c r="D324" s="14" t="s">
        <v>251</v>
      </c>
      <c r="E324" s="14" t="s">
        <v>102</v>
      </c>
      <c r="F324" s="15" t="s">
        <v>47</v>
      </c>
      <c r="G324" s="14" t="s">
        <v>42</v>
      </c>
      <c r="H324" s="16" t="n">
        <v>46524</v>
      </c>
      <c r="I324" s="16" t="n">
        <v>46535</v>
      </c>
      <c r="J324" s="16" t="n">
        <v>46556</v>
      </c>
      <c r="K324" s="16" t="n">
        <v>46570</v>
      </c>
      <c r="L324" s="16" t="n">
        <v>46584</v>
      </c>
      <c r="M324" s="16" t="n">
        <v>46591</v>
      </c>
      <c r="N324" s="17"/>
      <c r="O324" s="16" t="n">
        <f aca="false">IF(N324&lt;&gt;"",N324,M324)</f>
        <v>46591</v>
      </c>
      <c r="P324" s="18" t="s">
        <v>31</v>
      </c>
      <c r="Q324" s="19" t="s">
        <v>1039</v>
      </c>
      <c r="R324" s="19"/>
      <c r="S324" s="14" t="str">
        <f aca="true">IF(AND(O324&lt;TODAY(),P324&lt;&gt;"Approved",P324&lt;&gt;"Live",P324&lt;&gt;"Not applicable"),"Overdue","")</f>
        <v/>
      </c>
      <c r="T324" s="14" t="str">
        <f aca="true">IF(S324="Overdue",TODAY()-O324,"")</f>
        <v/>
      </c>
    </row>
    <row r="325" customFormat="false" ht="46.25" hidden="false" customHeight="false" outlineLevel="0" collapsed="false">
      <c r="A325" s="14" t="s">
        <v>1040</v>
      </c>
      <c r="B325" s="15" t="s">
        <v>1041</v>
      </c>
      <c r="C325" s="14" t="s">
        <v>55</v>
      </c>
      <c r="D325" s="14" t="s">
        <v>251</v>
      </c>
      <c r="E325" s="14" t="s">
        <v>102</v>
      </c>
      <c r="F325" s="15" t="s">
        <v>47</v>
      </c>
      <c r="G325" s="14" t="s">
        <v>42</v>
      </c>
      <c r="H325" s="16" t="n">
        <v>46524</v>
      </c>
      <c r="I325" s="16" t="n">
        <v>46535</v>
      </c>
      <c r="J325" s="16" t="n">
        <v>46556</v>
      </c>
      <c r="K325" s="16" t="n">
        <v>46570</v>
      </c>
      <c r="L325" s="16" t="n">
        <v>46584</v>
      </c>
      <c r="M325" s="16" t="n">
        <v>46591</v>
      </c>
      <c r="N325" s="17"/>
      <c r="O325" s="16" t="n">
        <f aca="false">IF(N325&lt;&gt;"",N325,M325)</f>
        <v>46591</v>
      </c>
      <c r="P325" s="18" t="s">
        <v>31</v>
      </c>
      <c r="Q325" s="19" t="s">
        <v>1042</v>
      </c>
      <c r="R325" s="19"/>
      <c r="S325" s="14" t="str">
        <f aca="true">IF(AND(O325&lt;TODAY(),P325&lt;&gt;"Approved",P325&lt;&gt;"Live",P325&lt;&gt;"Not applicable"),"Overdue","")</f>
        <v/>
      </c>
      <c r="T325" s="14" t="str">
        <f aca="true">IF(S325="Overdue",TODAY()-O325,"")</f>
        <v/>
      </c>
    </row>
    <row r="326" customFormat="false" ht="23.85" hidden="false" customHeight="false" outlineLevel="0" collapsed="false">
      <c r="A326" s="14" t="s">
        <v>1043</v>
      </c>
      <c r="B326" s="15" t="s">
        <v>1044</v>
      </c>
      <c r="C326" s="14" t="s">
        <v>57</v>
      </c>
      <c r="D326" s="14" t="s">
        <v>101</v>
      </c>
      <c r="E326" s="14" t="s">
        <v>102</v>
      </c>
      <c r="F326" s="15" t="s">
        <v>46</v>
      </c>
      <c r="G326" s="14" t="s">
        <v>42</v>
      </c>
      <c r="H326" s="16" t="n">
        <v>46524</v>
      </c>
      <c r="I326" s="16" t="n">
        <v>46535</v>
      </c>
      <c r="J326" s="16" t="n">
        <v>46556</v>
      </c>
      <c r="K326" s="16" t="n">
        <v>46570</v>
      </c>
      <c r="L326" s="16" t="n">
        <v>46584</v>
      </c>
      <c r="M326" s="16" t="n">
        <v>46591</v>
      </c>
      <c r="N326" s="17"/>
      <c r="O326" s="16" t="n">
        <f aca="false">IF(N326&lt;&gt;"",N326,M326)</f>
        <v>46591</v>
      </c>
      <c r="P326" s="18" t="s">
        <v>31</v>
      </c>
      <c r="Q326" s="19" t="s">
        <v>1045</v>
      </c>
      <c r="R326" s="19"/>
      <c r="S326" s="14" t="str">
        <f aca="true">IF(AND(O326&lt;TODAY(),P326&lt;&gt;"Approved",P326&lt;&gt;"Live",P326&lt;&gt;"Not applicable"),"Overdue","")</f>
        <v/>
      </c>
      <c r="T326" s="14" t="str">
        <f aca="true">IF(S326="Overdue",TODAY()-O326,"")</f>
        <v/>
      </c>
    </row>
    <row r="327" customFormat="false" ht="23.85" hidden="false" customHeight="false" outlineLevel="0" collapsed="false">
      <c r="A327" s="14" t="s">
        <v>1046</v>
      </c>
      <c r="B327" s="15" t="s">
        <v>1047</v>
      </c>
      <c r="C327" s="14" t="s">
        <v>56</v>
      </c>
      <c r="D327" s="14" t="s">
        <v>81</v>
      </c>
      <c r="E327" s="14" t="s">
        <v>102</v>
      </c>
      <c r="F327" s="15" t="s">
        <v>46</v>
      </c>
      <c r="G327" s="14" t="s">
        <v>42</v>
      </c>
      <c r="H327" s="16" t="n">
        <v>46524</v>
      </c>
      <c r="I327" s="16" t="n">
        <v>46535</v>
      </c>
      <c r="J327" s="16" t="n">
        <v>46556</v>
      </c>
      <c r="K327" s="16" t="n">
        <v>46570</v>
      </c>
      <c r="L327" s="16" t="n">
        <v>46584</v>
      </c>
      <c r="M327" s="16" t="n">
        <v>46591</v>
      </c>
      <c r="N327" s="17"/>
      <c r="O327" s="16" t="n">
        <f aca="false">IF(N327&lt;&gt;"",N327,M327)</f>
        <v>46591</v>
      </c>
      <c r="P327" s="18" t="s">
        <v>31</v>
      </c>
      <c r="Q327" s="19" t="s">
        <v>749</v>
      </c>
      <c r="R327" s="19"/>
      <c r="S327" s="14" t="str">
        <f aca="true">IF(AND(O327&lt;TODAY(),P327&lt;&gt;"Approved",P327&lt;&gt;"Live",P327&lt;&gt;"Not applicable"),"Overdue","")</f>
        <v/>
      </c>
      <c r="T327" s="14" t="str">
        <f aca="true">IF(S327="Overdue",TODAY()-O327,"")</f>
        <v/>
      </c>
    </row>
    <row r="328" customFormat="false" ht="23.85" hidden="false" customHeight="false" outlineLevel="0" collapsed="false">
      <c r="A328" s="14" t="s">
        <v>1048</v>
      </c>
      <c r="B328" s="15" t="s">
        <v>1049</v>
      </c>
      <c r="C328" s="14" t="s">
        <v>57</v>
      </c>
      <c r="D328" s="14" t="s">
        <v>101</v>
      </c>
      <c r="E328" s="14" t="s">
        <v>102</v>
      </c>
      <c r="F328" s="15" t="s">
        <v>46</v>
      </c>
      <c r="G328" s="14" t="s">
        <v>42</v>
      </c>
      <c r="H328" s="16" t="n">
        <v>46524</v>
      </c>
      <c r="I328" s="16" t="n">
        <v>46535</v>
      </c>
      <c r="J328" s="16" t="n">
        <v>46556</v>
      </c>
      <c r="K328" s="16" t="n">
        <v>46570</v>
      </c>
      <c r="L328" s="16" t="n">
        <v>46584</v>
      </c>
      <c r="M328" s="16" t="n">
        <v>46591</v>
      </c>
      <c r="N328" s="17"/>
      <c r="O328" s="16" t="n">
        <f aca="false">IF(N328&lt;&gt;"",N328,M328)</f>
        <v>46591</v>
      </c>
      <c r="P328" s="18" t="s">
        <v>31</v>
      </c>
      <c r="Q328" s="19" t="s">
        <v>1050</v>
      </c>
      <c r="R328" s="19"/>
      <c r="S328" s="14" t="str">
        <f aca="true">IF(AND(O328&lt;TODAY(),P328&lt;&gt;"Approved",P328&lt;&gt;"Live",P328&lt;&gt;"Not applicable"),"Overdue","")</f>
        <v/>
      </c>
      <c r="T328" s="14" t="str">
        <f aca="true">IF(S328="Overdue",TODAY()-O328,"")</f>
        <v/>
      </c>
    </row>
    <row r="329" customFormat="false" ht="15" hidden="false" customHeight="false" outlineLevel="0" collapsed="false">
      <c r="A329" s="14" t="s">
        <v>1051</v>
      </c>
      <c r="B329" s="15" t="s">
        <v>1052</v>
      </c>
      <c r="C329" s="14" t="s">
        <v>57</v>
      </c>
      <c r="D329" s="14" t="s">
        <v>186</v>
      </c>
      <c r="E329" s="14" t="s">
        <v>102</v>
      </c>
      <c r="F329" s="15" t="s">
        <v>51</v>
      </c>
      <c r="G329" s="14" t="s">
        <v>42</v>
      </c>
      <c r="H329" s="16" t="n">
        <v>46524</v>
      </c>
      <c r="I329" s="16" t="n">
        <v>46535</v>
      </c>
      <c r="J329" s="16" t="n">
        <v>46556</v>
      </c>
      <c r="K329" s="16" t="n">
        <v>46570</v>
      </c>
      <c r="L329" s="16" t="n">
        <v>46584</v>
      </c>
      <c r="M329" s="16" t="n">
        <v>46591</v>
      </c>
      <c r="N329" s="17"/>
      <c r="O329" s="16" t="n">
        <f aca="false">IF(N329&lt;&gt;"",N329,M329)</f>
        <v>46591</v>
      </c>
      <c r="P329" s="18" t="s">
        <v>31</v>
      </c>
      <c r="Q329" s="19" t="s">
        <v>1053</v>
      </c>
      <c r="R329" s="19"/>
      <c r="S329" s="14" t="str">
        <f aca="true">IF(AND(O329&lt;TODAY(),P329&lt;&gt;"Approved",P329&lt;&gt;"Live",P329&lt;&gt;"Not applicable"),"Overdue","")</f>
        <v/>
      </c>
      <c r="T329" s="14" t="str">
        <f aca="true">IF(S329="Overdue",TODAY()-O329,"")</f>
        <v/>
      </c>
    </row>
    <row r="330" customFormat="false" ht="23.85" hidden="false" customHeight="false" outlineLevel="0" collapsed="false">
      <c r="A330" s="14" t="s">
        <v>1054</v>
      </c>
      <c r="B330" s="15" t="s">
        <v>1055</v>
      </c>
      <c r="C330" s="14" t="s">
        <v>57</v>
      </c>
      <c r="D330" s="14" t="s">
        <v>101</v>
      </c>
      <c r="E330" s="14" t="s">
        <v>102</v>
      </c>
      <c r="F330" s="15" t="s">
        <v>46</v>
      </c>
      <c r="G330" s="14" t="s">
        <v>42</v>
      </c>
      <c r="H330" s="16" t="n">
        <v>46524</v>
      </c>
      <c r="I330" s="16" t="n">
        <v>46535</v>
      </c>
      <c r="J330" s="16" t="n">
        <v>46556</v>
      </c>
      <c r="K330" s="16" t="n">
        <v>46570</v>
      </c>
      <c r="L330" s="16" t="n">
        <v>46584</v>
      </c>
      <c r="M330" s="16" t="n">
        <v>46591</v>
      </c>
      <c r="N330" s="17"/>
      <c r="O330" s="16" t="n">
        <f aca="false">IF(N330&lt;&gt;"",N330,M330)</f>
        <v>46591</v>
      </c>
      <c r="P330" s="18" t="s">
        <v>31</v>
      </c>
      <c r="Q330" s="19" t="s">
        <v>1056</v>
      </c>
      <c r="R330" s="19"/>
      <c r="S330" s="14" t="str">
        <f aca="true">IF(AND(O330&lt;TODAY(),P330&lt;&gt;"Approved",P330&lt;&gt;"Live",P330&lt;&gt;"Not applicable"),"Overdue","")</f>
        <v/>
      </c>
      <c r="T330" s="14" t="str">
        <f aca="true">IF(S330="Overdue",TODAY()-O330,"")</f>
        <v/>
      </c>
    </row>
    <row r="331" customFormat="false" ht="23.85" hidden="false" customHeight="false" outlineLevel="0" collapsed="false">
      <c r="A331" s="14" t="s">
        <v>1057</v>
      </c>
      <c r="B331" s="15" t="s">
        <v>1058</v>
      </c>
      <c r="C331" s="14" t="s">
        <v>57</v>
      </c>
      <c r="D331" s="14" t="s">
        <v>148</v>
      </c>
      <c r="E331" s="14" t="s">
        <v>102</v>
      </c>
      <c r="F331" s="15" t="s">
        <v>50</v>
      </c>
      <c r="G331" s="14" t="s">
        <v>42</v>
      </c>
      <c r="H331" s="16" t="n">
        <v>46524</v>
      </c>
      <c r="I331" s="16" t="n">
        <v>46535</v>
      </c>
      <c r="J331" s="16" t="n">
        <v>46556</v>
      </c>
      <c r="K331" s="16" t="n">
        <v>46570</v>
      </c>
      <c r="L331" s="16" t="n">
        <v>46584</v>
      </c>
      <c r="M331" s="16" t="n">
        <v>46591</v>
      </c>
      <c r="N331" s="17"/>
      <c r="O331" s="16" t="n">
        <f aca="false">IF(N331&lt;&gt;"",N331,M331)</f>
        <v>46591</v>
      </c>
      <c r="P331" s="18" t="s">
        <v>31</v>
      </c>
      <c r="Q331" s="19" t="s">
        <v>1059</v>
      </c>
      <c r="R331" s="19"/>
      <c r="S331" s="14" t="str">
        <f aca="true">IF(AND(O331&lt;TODAY(),P331&lt;&gt;"Approved",P331&lt;&gt;"Live",P331&lt;&gt;"Not applicable"),"Overdue","")</f>
        <v/>
      </c>
      <c r="T331" s="14" t="str">
        <f aca="true">IF(S331="Overdue",TODAY()-O331,"")</f>
        <v/>
      </c>
    </row>
    <row r="332" customFormat="false" ht="23.85" hidden="false" customHeight="false" outlineLevel="0" collapsed="false">
      <c r="A332" s="14" t="s">
        <v>1060</v>
      </c>
      <c r="B332" s="15" t="s">
        <v>1061</v>
      </c>
      <c r="C332" s="14" t="s">
        <v>56</v>
      </c>
      <c r="D332" s="14" t="s">
        <v>186</v>
      </c>
      <c r="E332" s="14" t="s">
        <v>102</v>
      </c>
      <c r="F332" s="15" t="s">
        <v>51</v>
      </c>
      <c r="G332" s="14" t="s">
        <v>42</v>
      </c>
      <c r="H332" s="16" t="n">
        <v>46524</v>
      </c>
      <c r="I332" s="16" t="n">
        <v>46535</v>
      </c>
      <c r="J332" s="16" t="n">
        <v>46556</v>
      </c>
      <c r="K332" s="16" t="n">
        <v>46570</v>
      </c>
      <c r="L332" s="16" t="n">
        <v>46584</v>
      </c>
      <c r="M332" s="16" t="n">
        <v>46591</v>
      </c>
      <c r="N332" s="17"/>
      <c r="O332" s="16" t="n">
        <f aca="false">IF(N332&lt;&gt;"",N332,M332)</f>
        <v>46591</v>
      </c>
      <c r="P332" s="18" t="s">
        <v>31</v>
      </c>
      <c r="Q332" s="19" t="s">
        <v>1062</v>
      </c>
      <c r="R332" s="19"/>
      <c r="S332" s="14" t="str">
        <f aca="true">IF(AND(O332&lt;TODAY(),P332&lt;&gt;"Approved",P332&lt;&gt;"Live",P332&lt;&gt;"Not applicable"),"Overdue","")</f>
        <v/>
      </c>
      <c r="T332" s="14" t="str">
        <f aca="true">IF(S332="Overdue",TODAY()-O332,"")</f>
        <v/>
      </c>
    </row>
    <row r="333" customFormat="false" ht="23.85" hidden="false" customHeight="false" outlineLevel="0" collapsed="false">
      <c r="A333" s="14" t="s">
        <v>1063</v>
      </c>
      <c r="B333" s="15" t="s">
        <v>1064</v>
      </c>
      <c r="C333" s="14" t="s">
        <v>56</v>
      </c>
      <c r="D333" s="14" t="s">
        <v>282</v>
      </c>
      <c r="E333" s="14" t="s">
        <v>102</v>
      </c>
      <c r="F333" s="15" t="s">
        <v>49</v>
      </c>
      <c r="G333" s="14" t="s">
        <v>42</v>
      </c>
      <c r="H333" s="16" t="n">
        <v>46524</v>
      </c>
      <c r="I333" s="16" t="n">
        <v>46535</v>
      </c>
      <c r="J333" s="16" t="n">
        <v>46556</v>
      </c>
      <c r="K333" s="16" t="n">
        <v>46570</v>
      </c>
      <c r="L333" s="16" t="n">
        <v>46584</v>
      </c>
      <c r="M333" s="16" t="n">
        <v>46591</v>
      </c>
      <c r="N333" s="17"/>
      <c r="O333" s="16" t="n">
        <f aca="false">IF(N333&lt;&gt;"",N333,M333)</f>
        <v>46591</v>
      </c>
      <c r="P333" s="18" t="s">
        <v>31</v>
      </c>
      <c r="Q333" s="19" t="s">
        <v>1065</v>
      </c>
      <c r="R333" s="19"/>
      <c r="S333" s="14" t="str">
        <f aca="true">IF(AND(O333&lt;TODAY(),P333&lt;&gt;"Approved",P333&lt;&gt;"Live",P333&lt;&gt;"Not applicable"),"Overdue","")</f>
        <v/>
      </c>
      <c r="T333" s="14" t="str">
        <f aca="true">IF(S333="Overdue",TODAY()-O333,"")</f>
        <v/>
      </c>
    </row>
    <row r="334" customFormat="false" ht="23.85" hidden="false" customHeight="false" outlineLevel="0" collapsed="false">
      <c r="A334" s="14" t="s">
        <v>1066</v>
      </c>
      <c r="B334" s="15" t="s">
        <v>1067</v>
      </c>
      <c r="C334" s="14" t="s">
        <v>57</v>
      </c>
      <c r="D334" s="14" t="s">
        <v>282</v>
      </c>
      <c r="E334" s="14" t="s">
        <v>102</v>
      </c>
      <c r="F334" s="15" t="s">
        <v>49</v>
      </c>
      <c r="G334" s="14" t="s">
        <v>42</v>
      </c>
      <c r="H334" s="16" t="n">
        <v>46524</v>
      </c>
      <c r="I334" s="16" t="n">
        <v>46535</v>
      </c>
      <c r="J334" s="16" t="n">
        <v>46556</v>
      </c>
      <c r="K334" s="16" t="n">
        <v>46570</v>
      </c>
      <c r="L334" s="16" t="n">
        <v>46584</v>
      </c>
      <c r="M334" s="16" t="n">
        <v>46591</v>
      </c>
      <c r="N334" s="17"/>
      <c r="O334" s="16" t="n">
        <f aca="false">IF(N334&lt;&gt;"",N334,M334)</f>
        <v>46591</v>
      </c>
      <c r="P334" s="18" t="s">
        <v>31</v>
      </c>
      <c r="Q334" s="19" t="s">
        <v>1068</v>
      </c>
      <c r="R334" s="19"/>
      <c r="S334" s="14" t="str">
        <f aca="true">IF(AND(O334&lt;TODAY(),P334&lt;&gt;"Approved",P334&lt;&gt;"Live",P334&lt;&gt;"Not applicable"),"Overdue","")</f>
        <v/>
      </c>
      <c r="T334" s="14" t="str">
        <f aca="true">IF(S334="Overdue",TODAY()-O334,"")</f>
        <v/>
      </c>
    </row>
    <row r="335" customFormat="false" ht="23.85" hidden="false" customHeight="false" outlineLevel="0" collapsed="false">
      <c r="A335" s="14" t="s">
        <v>1069</v>
      </c>
      <c r="B335" s="15" t="s">
        <v>1070</v>
      </c>
      <c r="C335" s="14" t="s">
        <v>56</v>
      </c>
      <c r="D335" s="14" t="s">
        <v>170</v>
      </c>
      <c r="E335" s="14" t="s">
        <v>102</v>
      </c>
      <c r="F335" s="15" t="s">
        <v>51</v>
      </c>
      <c r="G335" s="14" t="s">
        <v>42</v>
      </c>
      <c r="H335" s="16" t="n">
        <v>46524</v>
      </c>
      <c r="I335" s="16" t="n">
        <v>46535</v>
      </c>
      <c r="J335" s="16" t="n">
        <v>46556</v>
      </c>
      <c r="K335" s="16" t="n">
        <v>46570</v>
      </c>
      <c r="L335" s="16" t="n">
        <v>46584</v>
      </c>
      <c r="M335" s="16" t="n">
        <v>46591</v>
      </c>
      <c r="N335" s="17"/>
      <c r="O335" s="16" t="n">
        <f aca="false">IF(N335&lt;&gt;"",N335,M335)</f>
        <v>46591</v>
      </c>
      <c r="P335" s="18" t="s">
        <v>31</v>
      </c>
      <c r="Q335" s="19" t="s">
        <v>1071</v>
      </c>
      <c r="R335" s="19"/>
      <c r="S335" s="14" t="str">
        <f aca="true">IF(AND(O335&lt;TODAY(),P335&lt;&gt;"Approved",P335&lt;&gt;"Live",P335&lt;&gt;"Not applicable"),"Overdue","")</f>
        <v/>
      </c>
      <c r="T335" s="14" t="str">
        <f aca="true">IF(S335="Overdue",TODAY()-O335,"")</f>
        <v/>
      </c>
    </row>
    <row r="336" customFormat="false" ht="15" hidden="false" customHeight="false" outlineLevel="0" collapsed="false">
      <c r="A336" s="14" t="s">
        <v>1072</v>
      </c>
      <c r="B336" s="15" t="s">
        <v>1073</v>
      </c>
      <c r="C336" s="14" t="s">
        <v>57</v>
      </c>
      <c r="D336" s="14" t="s">
        <v>275</v>
      </c>
      <c r="E336" s="14" t="s">
        <v>102</v>
      </c>
      <c r="F336" s="15" t="s">
        <v>50</v>
      </c>
      <c r="G336" s="14" t="s">
        <v>42</v>
      </c>
      <c r="H336" s="16" t="n">
        <v>46524</v>
      </c>
      <c r="I336" s="16" t="n">
        <v>46535</v>
      </c>
      <c r="J336" s="16" t="n">
        <v>46556</v>
      </c>
      <c r="K336" s="16" t="n">
        <v>46570</v>
      </c>
      <c r="L336" s="16" t="n">
        <v>46584</v>
      </c>
      <c r="M336" s="16" t="n">
        <v>46591</v>
      </c>
      <c r="N336" s="17"/>
      <c r="O336" s="16" t="n">
        <f aca="false">IF(N336&lt;&gt;"",N336,M336)</f>
        <v>46591</v>
      </c>
      <c r="P336" s="18" t="s">
        <v>31</v>
      </c>
      <c r="Q336" s="19" t="s">
        <v>592</v>
      </c>
      <c r="R336" s="19"/>
      <c r="S336" s="14" t="str">
        <f aca="true">IF(AND(O336&lt;TODAY(),P336&lt;&gt;"Approved",P336&lt;&gt;"Live",P336&lt;&gt;"Not applicable"),"Overdue","")</f>
        <v/>
      </c>
      <c r="T336" s="14" t="str">
        <f aca="true">IF(S336="Overdue",TODAY()-O336,"")</f>
        <v/>
      </c>
    </row>
    <row r="337" customFormat="false" ht="46.25" hidden="false" customHeight="false" outlineLevel="0" collapsed="false">
      <c r="A337" s="14" t="s">
        <v>1074</v>
      </c>
      <c r="B337" s="15" t="s">
        <v>1075</v>
      </c>
      <c r="C337" s="14" t="s">
        <v>55</v>
      </c>
      <c r="D337" s="14" t="s">
        <v>203</v>
      </c>
      <c r="E337" s="14" t="s">
        <v>102</v>
      </c>
      <c r="F337" s="15" t="s">
        <v>49</v>
      </c>
      <c r="G337" s="14" t="s">
        <v>42</v>
      </c>
      <c r="H337" s="16" t="n">
        <v>46531</v>
      </c>
      <c r="I337" s="16" t="n">
        <v>46542</v>
      </c>
      <c r="J337" s="16" t="n">
        <v>46563</v>
      </c>
      <c r="K337" s="16" t="n">
        <v>46577</v>
      </c>
      <c r="L337" s="16" t="n">
        <v>46591</v>
      </c>
      <c r="M337" s="16" t="n">
        <v>46598</v>
      </c>
      <c r="N337" s="17"/>
      <c r="O337" s="16" t="n">
        <f aca="false">IF(N337&lt;&gt;"",N337,M337)</f>
        <v>46598</v>
      </c>
      <c r="P337" s="18" t="s">
        <v>31</v>
      </c>
      <c r="Q337" s="19" t="s">
        <v>1076</v>
      </c>
      <c r="R337" s="19"/>
      <c r="S337" s="14" t="str">
        <f aca="true">IF(AND(O337&lt;TODAY(),P337&lt;&gt;"Approved",P337&lt;&gt;"Live",P337&lt;&gt;"Not applicable"),"Overdue","")</f>
        <v/>
      </c>
      <c r="T337" s="14" t="str">
        <f aca="true">IF(S337="Overdue",TODAY()-O337,"")</f>
        <v/>
      </c>
    </row>
    <row r="338" customFormat="false" ht="46.25" hidden="false" customHeight="false" outlineLevel="0" collapsed="false">
      <c r="A338" s="14" t="s">
        <v>1077</v>
      </c>
      <c r="B338" s="15" t="s">
        <v>1078</v>
      </c>
      <c r="C338" s="14" t="s">
        <v>55</v>
      </c>
      <c r="D338" s="14" t="s">
        <v>203</v>
      </c>
      <c r="E338" s="14" t="s">
        <v>102</v>
      </c>
      <c r="F338" s="15" t="s">
        <v>49</v>
      </c>
      <c r="G338" s="14" t="s">
        <v>42</v>
      </c>
      <c r="H338" s="16" t="n">
        <v>46531</v>
      </c>
      <c r="I338" s="16" t="n">
        <v>46542</v>
      </c>
      <c r="J338" s="16" t="n">
        <v>46563</v>
      </c>
      <c r="K338" s="16" t="n">
        <v>46577</v>
      </c>
      <c r="L338" s="16" t="n">
        <v>46591</v>
      </c>
      <c r="M338" s="16" t="n">
        <v>46598</v>
      </c>
      <c r="N338" s="17"/>
      <c r="O338" s="16" t="n">
        <f aca="false">IF(N338&lt;&gt;"",N338,M338)</f>
        <v>46598</v>
      </c>
      <c r="P338" s="18" t="s">
        <v>31</v>
      </c>
      <c r="Q338" s="19" t="s">
        <v>1079</v>
      </c>
      <c r="R338" s="19"/>
      <c r="S338" s="14" t="str">
        <f aca="true">IF(AND(O338&lt;TODAY(),P338&lt;&gt;"Approved",P338&lt;&gt;"Live",P338&lt;&gt;"Not applicable"),"Overdue","")</f>
        <v/>
      </c>
      <c r="T338" s="14" t="str">
        <f aca="true">IF(S338="Overdue",TODAY()-O338,"")</f>
        <v/>
      </c>
    </row>
    <row r="339" customFormat="false" ht="46.25" hidden="false" customHeight="false" outlineLevel="0" collapsed="false">
      <c r="A339" s="14" t="s">
        <v>1080</v>
      </c>
      <c r="B339" s="15" t="s">
        <v>1081</v>
      </c>
      <c r="C339" s="14" t="s">
        <v>55</v>
      </c>
      <c r="D339" s="14" t="s">
        <v>203</v>
      </c>
      <c r="E339" s="14" t="s">
        <v>102</v>
      </c>
      <c r="F339" s="15" t="s">
        <v>49</v>
      </c>
      <c r="G339" s="14" t="s">
        <v>42</v>
      </c>
      <c r="H339" s="16" t="n">
        <v>46531</v>
      </c>
      <c r="I339" s="16" t="n">
        <v>46542</v>
      </c>
      <c r="J339" s="16" t="n">
        <v>46563</v>
      </c>
      <c r="K339" s="16" t="n">
        <v>46577</v>
      </c>
      <c r="L339" s="16" t="n">
        <v>46591</v>
      </c>
      <c r="M339" s="16" t="n">
        <v>46598</v>
      </c>
      <c r="N339" s="17"/>
      <c r="O339" s="16" t="n">
        <f aca="false">IF(N339&lt;&gt;"",N339,M339)</f>
        <v>46598</v>
      </c>
      <c r="P339" s="18" t="s">
        <v>31</v>
      </c>
      <c r="Q339" s="19" t="s">
        <v>1082</v>
      </c>
      <c r="R339" s="19"/>
      <c r="S339" s="14" t="str">
        <f aca="true">IF(AND(O339&lt;TODAY(),P339&lt;&gt;"Approved",P339&lt;&gt;"Live",P339&lt;&gt;"Not applicable"),"Overdue","")</f>
        <v/>
      </c>
      <c r="T339" s="14" t="str">
        <f aca="true">IF(S339="Overdue",TODAY()-O339,"")</f>
        <v/>
      </c>
    </row>
    <row r="340" customFormat="false" ht="35.05" hidden="false" customHeight="false" outlineLevel="0" collapsed="false">
      <c r="A340" s="14" t="s">
        <v>1083</v>
      </c>
      <c r="B340" s="15" t="s">
        <v>1084</v>
      </c>
      <c r="C340" s="14" t="s">
        <v>55</v>
      </c>
      <c r="D340" s="14" t="s">
        <v>126</v>
      </c>
      <c r="E340" s="14" t="s">
        <v>102</v>
      </c>
      <c r="F340" s="15" t="s">
        <v>49</v>
      </c>
      <c r="G340" s="14" t="s">
        <v>42</v>
      </c>
      <c r="H340" s="16" t="n">
        <v>46531</v>
      </c>
      <c r="I340" s="16" t="n">
        <v>46542</v>
      </c>
      <c r="J340" s="16" t="n">
        <v>46563</v>
      </c>
      <c r="K340" s="16" t="n">
        <v>46577</v>
      </c>
      <c r="L340" s="16" t="n">
        <v>46591</v>
      </c>
      <c r="M340" s="16" t="n">
        <v>46598</v>
      </c>
      <c r="N340" s="17"/>
      <c r="O340" s="16" t="n">
        <f aca="false">IF(N340&lt;&gt;"",N340,M340)</f>
        <v>46598</v>
      </c>
      <c r="P340" s="18" t="s">
        <v>31</v>
      </c>
      <c r="Q340" s="19" t="s">
        <v>1085</v>
      </c>
      <c r="R340" s="19"/>
      <c r="S340" s="14" t="str">
        <f aca="true">IF(AND(O340&lt;TODAY(),P340&lt;&gt;"Approved",P340&lt;&gt;"Live",P340&lt;&gt;"Not applicable"),"Overdue","")</f>
        <v/>
      </c>
      <c r="T340" s="14" t="str">
        <f aca="true">IF(S340="Overdue",TODAY()-O340,"")</f>
        <v/>
      </c>
    </row>
    <row r="341" customFormat="false" ht="46.25" hidden="false" customHeight="false" outlineLevel="0" collapsed="false">
      <c r="A341" s="14" t="s">
        <v>1086</v>
      </c>
      <c r="B341" s="15" t="s">
        <v>1087</v>
      </c>
      <c r="C341" s="14" t="s">
        <v>55</v>
      </c>
      <c r="D341" s="14" t="s">
        <v>126</v>
      </c>
      <c r="E341" s="14" t="s">
        <v>102</v>
      </c>
      <c r="F341" s="15" t="s">
        <v>49</v>
      </c>
      <c r="G341" s="14" t="s">
        <v>42</v>
      </c>
      <c r="H341" s="16" t="n">
        <v>46531</v>
      </c>
      <c r="I341" s="16" t="n">
        <v>46542</v>
      </c>
      <c r="J341" s="16" t="n">
        <v>46563</v>
      </c>
      <c r="K341" s="16" t="n">
        <v>46577</v>
      </c>
      <c r="L341" s="16" t="n">
        <v>46591</v>
      </c>
      <c r="M341" s="16" t="n">
        <v>46598</v>
      </c>
      <c r="N341" s="17"/>
      <c r="O341" s="16" t="n">
        <f aca="false">IF(N341&lt;&gt;"",N341,M341)</f>
        <v>46598</v>
      </c>
      <c r="P341" s="18" t="s">
        <v>31</v>
      </c>
      <c r="Q341" s="19" t="s">
        <v>1088</v>
      </c>
      <c r="R341" s="19"/>
      <c r="S341" s="14" t="str">
        <f aca="true">IF(AND(O341&lt;TODAY(),P341&lt;&gt;"Approved",P341&lt;&gt;"Live",P341&lt;&gt;"Not applicable"),"Overdue","")</f>
        <v/>
      </c>
      <c r="T341" s="14" t="str">
        <f aca="true">IF(S341="Overdue",TODAY()-O341,"")</f>
        <v/>
      </c>
    </row>
    <row r="342" customFormat="false" ht="57.45" hidden="false" customHeight="false" outlineLevel="0" collapsed="false">
      <c r="A342" s="14" t="s">
        <v>1089</v>
      </c>
      <c r="B342" s="15" t="s">
        <v>1090</v>
      </c>
      <c r="C342" s="14" t="s">
        <v>55</v>
      </c>
      <c r="D342" s="14" t="s">
        <v>126</v>
      </c>
      <c r="E342" s="14" t="s">
        <v>102</v>
      </c>
      <c r="F342" s="15" t="s">
        <v>49</v>
      </c>
      <c r="G342" s="14" t="s">
        <v>42</v>
      </c>
      <c r="H342" s="16" t="n">
        <v>46531</v>
      </c>
      <c r="I342" s="16" t="n">
        <v>46542</v>
      </c>
      <c r="J342" s="16" t="n">
        <v>46563</v>
      </c>
      <c r="K342" s="16" t="n">
        <v>46577</v>
      </c>
      <c r="L342" s="16" t="n">
        <v>46591</v>
      </c>
      <c r="M342" s="16" t="n">
        <v>46598</v>
      </c>
      <c r="N342" s="17"/>
      <c r="O342" s="16" t="n">
        <f aca="false">IF(N342&lt;&gt;"",N342,M342)</f>
        <v>46598</v>
      </c>
      <c r="P342" s="18" t="s">
        <v>31</v>
      </c>
      <c r="Q342" s="19" t="s">
        <v>1091</v>
      </c>
      <c r="R342" s="19"/>
      <c r="S342" s="14" t="str">
        <f aca="true">IF(AND(O342&lt;TODAY(),P342&lt;&gt;"Approved",P342&lt;&gt;"Live",P342&lt;&gt;"Not applicable"),"Overdue","")</f>
        <v/>
      </c>
      <c r="T342" s="14" t="str">
        <f aca="true">IF(S342="Overdue",TODAY()-O342,"")</f>
        <v/>
      </c>
    </row>
    <row r="343" customFormat="false" ht="46.25" hidden="false" customHeight="false" outlineLevel="0" collapsed="false">
      <c r="A343" s="14" t="s">
        <v>1092</v>
      </c>
      <c r="B343" s="15" t="s">
        <v>1093</v>
      </c>
      <c r="C343" s="14" t="s">
        <v>55</v>
      </c>
      <c r="D343" s="14" t="s">
        <v>126</v>
      </c>
      <c r="E343" s="14" t="s">
        <v>102</v>
      </c>
      <c r="F343" s="15" t="s">
        <v>49</v>
      </c>
      <c r="G343" s="14" t="s">
        <v>42</v>
      </c>
      <c r="H343" s="16" t="n">
        <v>46531</v>
      </c>
      <c r="I343" s="16" t="n">
        <v>46542</v>
      </c>
      <c r="J343" s="16" t="n">
        <v>46563</v>
      </c>
      <c r="K343" s="16" t="n">
        <v>46577</v>
      </c>
      <c r="L343" s="16" t="n">
        <v>46591</v>
      </c>
      <c r="M343" s="16" t="n">
        <v>46598</v>
      </c>
      <c r="N343" s="17"/>
      <c r="O343" s="16" t="n">
        <f aca="false">IF(N343&lt;&gt;"",N343,M343)</f>
        <v>46598</v>
      </c>
      <c r="P343" s="18" t="s">
        <v>31</v>
      </c>
      <c r="Q343" s="19" t="s">
        <v>1094</v>
      </c>
      <c r="R343" s="19"/>
      <c r="S343" s="14" t="str">
        <f aca="true">IF(AND(O343&lt;TODAY(),P343&lt;&gt;"Approved",P343&lt;&gt;"Live",P343&lt;&gt;"Not applicable"),"Overdue","")</f>
        <v/>
      </c>
      <c r="T343" s="14" t="str">
        <f aca="true">IF(S343="Overdue",TODAY()-O343,"")</f>
        <v/>
      </c>
    </row>
    <row r="344" customFormat="false" ht="35.05" hidden="false" customHeight="false" outlineLevel="0" collapsed="false">
      <c r="A344" s="14" t="s">
        <v>1095</v>
      </c>
      <c r="B344" s="15" t="s">
        <v>1096</v>
      </c>
      <c r="C344" s="14" t="s">
        <v>55</v>
      </c>
      <c r="D344" s="14" t="s">
        <v>126</v>
      </c>
      <c r="E344" s="14" t="s">
        <v>102</v>
      </c>
      <c r="F344" s="15" t="s">
        <v>49</v>
      </c>
      <c r="G344" s="14" t="s">
        <v>42</v>
      </c>
      <c r="H344" s="16" t="n">
        <v>46531</v>
      </c>
      <c r="I344" s="16" t="n">
        <v>46542</v>
      </c>
      <c r="J344" s="16" t="n">
        <v>46563</v>
      </c>
      <c r="K344" s="16" t="n">
        <v>46577</v>
      </c>
      <c r="L344" s="16" t="n">
        <v>46591</v>
      </c>
      <c r="M344" s="16" t="n">
        <v>46598</v>
      </c>
      <c r="N344" s="17"/>
      <c r="O344" s="16" t="n">
        <f aca="false">IF(N344&lt;&gt;"",N344,M344)</f>
        <v>46598</v>
      </c>
      <c r="P344" s="18" t="s">
        <v>31</v>
      </c>
      <c r="Q344" s="19" t="s">
        <v>1097</v>
      </c>
      <c r="R344" s="19"/>
      <c r="S344" s="14" t="str">
        <f aca="true">IF(AND(O344&lt;TODAY(),P344&lt;&gt;"Approved",P344&lt;&gt;"Live",P344&lt;&gt;"Not applicable"),"Overdue","")</f>
        <v/>
      </c>
      <c r="T344" s="14" t="str">
        <f aca="true">IF(S344="Overdue",TODAY()-O344,"")</f>
        <v/>
      </c>
    </row>
    <row r="345" customFormat="false" ht="35.05" hidden="false" customHeight="false" outlineLevel="0" collapsed="false">
      <c r="A345" s="14" t="s">
        <v>1098</v>
      </c>
      <c r="B345" s="15" t="s">
        <v>1099</v>
      </c>
      <c r="C345" s="14" t="s">
        <v>55</v>
      </c>
      <c r="D345" s="14" t="s">
        <v>170</v>
      </c>
      <c r="E345" s="14" t="s">
        <v>102</v>
      </c>
      <c r="F345" s="15" t="s">
        <v>51</v>
      </c>
      <c r="G345" s="14" t="s">
        <v>42</v>
      </c>
      <c r="H345" s="16" t="n">
        <v>46531</v>
      </c>
      <c r="I345" s="16" t="n">
        <v>46542</v>
      </c>
      <c r="J345" s="16" t="n">
        <v>46563</v>
      </c>
      <c r="K345" s="16" t="n">
        <v>46577</v>
      </c>
      <c r="L345" s="16" t="n">
        <v>46591</v>
      </c>
      <c r="M345" s="16" t="n">
        <v>46598</v>
      </c>
      <c r="N345" s="17"/>
      <c r="O345" s="16" t="n">
        <f aca="false">IF(N345&lt;&gt;"",N345,M345)</f>
        <v>46598</v>
      </c>
      <c r="P345" s="18" t="s">
        <v>31</v>
      </c>
      <c r="Q345" s="19" t="s">
        <v>1100</v>
      </c>
      <c r="R345" s="19"/>
      <c r="S345" s="14" t="str">
        <f aca="true">IF(AND(O345&lt;TODAY(),P345&lt;&gt;"Approved",P345&lt;&gt;"Live",P345&lt;&gt;"Not applicable"),"Overdue","")</f>
        <v/>
      </c>
      <c r="T345" s="14" t="str">
        <f aca="true">IF(S345="Overdue",TODAY()-O345,"")</f>
        <v/>
      </c>
    </row>
    <row r="346" customFormat="false" ht="23.85" hidden="false" customHeight="false" outlineLevel="0" collapsed="false">
      <c r="A346" s="14" t="s">
        <v>1101</v>
      </c>
      <c r="B346" s="15" t="s">
        <v>1102</v>
      </c>
      <c r="C346" s="14" t="s">
        <v>55</v>
      </c>
      <c r="D346" s="14" t="s">
        <v>170</v>
      </c>
      <c r="E346" s="14" t="s">
        <v>102</v>
      </c>
      <c r="F346" s="15" t="s">
        <v>51</v>
      </c>
      <c r="G346" s="14" t="s">
        <v>42</v>
      </c>
      <c r="H346" s="16" t="n">
        <v>46531</v>
      </c>
      <c r="I346" s="16" t="n">
        <v>46542</v>
      </c>
      <c r="J346" s="16" t="n">
        <v>46563</v>
      </c>
      <c r="K346" s="16" t="n">
        <v>46577</v>
      </c>
      <c r="L346" s="16" t="n">
        <v>46591</v>
      </c>
      <c r="M346" s="16" t="n">
        <v>46598</v>
      </c>
      <c r="N346" s="17"/>
      <c r="O346" s="16" t="n">
        <f aca="false">IF(N346&lt;&gt;"",N346,M346)</f>
        <v>46598</v>
      </c>
      <c r="P346" s="18" t="s">
        <v>31</v>
      </c>
      <c r="Q346" s="19" t="s">
        <v>1103</v>
      </c>
      <c r="R346" s="19"/>
      <c r="S346" s="14" t="str">
        <f aca="true">IF(AND(O346&lt;TODAY(),P346&lt;&gt;"Approved",P346&lt;&gt;"Live",P346&lt;&gt;"Not applicable"),"Overdue","")</f>
        <v/>
      </c>
      <c r="T346" s="14" t="str">
        <f aca="true">IF(S346="Overdue",TODAY()-O346,"")</f>
        <v/>
      </c>
    </row>
    <row r="347" customFormat="false" ht="23.85" hidden="false" customHeight="false" outlineLevel="0" collapsed="false">
      <c r="A347" s="14" t="s">
        <v>1104</v>
      </c>
      <c r="B347" s="15" t="s">
        <v>1105</v>
      </c>
      <c r="C347" s="14" t="s">
        <v>55</v>
      </c>
      <c r="D347" s="14" t="s">
        <v>170</v>
      </c>
      <c r="E347" s="14" t="s">
        <v>102</v>
      </c>
      <c r="F347" s="15" t="s">
        <v>51</v>
      </c>
      <c r="G347" s="14" t="s">
        <v>42</v>
      </c>
      <c r="H347" s="16" t="n">
        <v>46531</v>
      </c>
      <c r="I347" s="16" t="n">
        <v>46542</v>
      </c>
      <c r="J347" s="16" t="n">
        <v>46563</v>
      </c>
      <c r="K347" s="16" t="n">
        <v>46577</v>
      </c>
      <c r="L347" s="16" t="n">
        <v>46591</v>
      </c>
      <c r="M347" s="16" t="n">
        <v>46598</v>
      </c>
      <c r="N347" s="17"/>
      <c r="O347" s="16" t="n">
        <f aca="false">IF(N347&lt;&gt;"",N347,M347)</f>
        <v>46598</v>
      </c>
      <c r="P347" s="18" t="s">
        <v>31</v>
      </c>
      <c r="Q347" s="19" t="s">
        <v>1106</v>
      </c>
      <c r="R347" s="19"/>
      <c r="S347" s="14" t="str">
        <f aca="true">IF(AND(O347&lt;TODAY(),P347&lt;&gt;"Approved",P347&lt;&gt;"Live",P347&lt;&gt;"Not applicable"),"Overdue","")</f>
        <v/>
      </c>
      <c r="T347" s="14" t="str">
        <f aca="true">IF(S347="Overdue",TODAY()-O347,"")</f>
        <v/>
      </c>
    </row>
    <row r="348" customFormat="false" ht="46.25" hidden="false" customHeight="false" outlineLevel="0" collapsed="false">
      <c r="A348" s="14" t="s">
        <v>1107</v>
      </c>
      <c r="B348" s="15" t="s">
        <v>1108</v>
      </c>
      <c r="C348" s="14" t="s">
        <v>55</v>
      </c>
      <c r="D348" s="14" t="s">
        <v>170</v>
      </c>
      <c r="E348" s="14" t="s">
        <v>102</v>
      </c>
      <c r="F348" s="15" t="s">
        <v>51</v>
      </c>
      <c r="G348" s="14" t="s">
        <v>42</v>
      </c>
      <c r="H348" s="16" t="n">
        <v>46531</v>
      </c>
      <c r="I348" s="16" t="n">
        <v>46542</v>
      </c>
      <c r="J348" s="16" t="n">
        <v>46563</v>
      </c>
      <c r="K348" s="16" t="n">
        <v>46577</v>
      </c>
      <c r="L348" s="16" t="n">
        <v>46591</v>
      </c>
      <c r="M348" s="16" t="n">
        <v>46598</v>
      </c>
      <c r="N348" s="17"/>
      <c r="O348" s="16" t="n">
        <f aca="false">IF(N348&lt;&gt;"",N348,M348)</f>
        <v>46598</v>
      </c>
      <c r="P348" s="18" t="s">
        <v>31</v>
      </c>
      <c r="Q348" s="19" t="s">
        <v>1109</v>
      </c>
      <c r="R348" s="19"/>
      <c r="S348" s="14" t="str">
        <f aca="true">IF(AND(O348&lt;TODAY(),P348&lt;&gt;"Approved",P348&lt;&gt;"Live",P348&lt;&gt;"Not applicable"),"Overdue","")</f>
        <v/>
      </c>
      <c r="T348" s="14" t="str">
        <f aca="true">IF(S348="Overdue",TODAY()-O348,"")</f>
        <v/>
      </c>
    </row>
    <row r="349" customFormat="false" ht="35.05" hidden="false" customHeight="false" outlineLevel="0" collapsed="false">
      <c r="A349" s="14" t="s">
        <v>1110</v>
      </c>
      <c r="B349" s="15" t="s">
        <v>1111</v>
      </c>
      <c r="C349" s="14" t="s">
        <v>55</v>
      </c>
      <c r="D349" s="14" t="s">
        <v>170</v>
      </c>
      <c r="E349" s="14" t="s">
        <v>102</v>
      </c>
      <c r="F349" s="15" t="s">
        <v>51</v>
      </c>
      <c r="G349" s="14" t="s">
        <v>42</v>
      </c>
      <c r="H349" s="16" t="n">
        <v>46531</v>
      </c>
      <c r="I349" s="16" t="n">
        <v>46542</v>
      </c>
      <c r="J349" s="16" t="n">
        <v>46563</v>
      </c>
      <c r="K349" s="16" t="n">
        <v>46577</v>
      </c>
      <c r="L349" s="16" t="n">
        <v>46591</v>
      </c>
      <c r="M349" s="16" t="n">
        <v>46598</v>
      </c>
      <c r="N349" s="17"/>
      <c r="O349" s="16" t="n">
        <f aca="false">IF(N349&lt;&gt;"",N349,M349)</f>
        <v>46598</v>
      </c>
      <c r="P349" s="18" t="s">
        <v>31</v>
      </c>
      <c r="Q349" s="19" t="s">
        <v>1112</v>
      </c>
      <c r="R349" s="19"/>
      <c r="S349" s="14" t="str">
        <f aca="true">IF(AND(O349&lt;TODAY(),P349&lt;&gt;"Approved",P349&lt;&gt;"Live",P349&lt;&gt;"Not applicable"),"Overdue","")</f>
        <v/>
      </c>
      <c r="T349" s="14" t="str">
        <f aca="true">IF(S349="Overdue",TODAY()-O349,"")</f>
        <v/>
      </c>
    </row>
    <row r="350" customFormat="false" ht="35.05" hidden="false" customHeight="false" outlineLevel="0" collapsed="false">
      <c r="A350" s="14" t="s">
        <v>1113</v>
      </c>
      <c r="B350" s="15" t="s">
        <v>1114</v>
      </c>
      <c r="C350" s="14" t="s">
        <v>55</v>
      </c>
      <c r="D350" s="14" t="s">
        <v>1115</v>
      </c>
      <c r="E350" s="14" t="s">
        <v>102</v>
      </c>
      <c r="F350" s="15" t="s">
        <v>50</v>
      </c>
      <c r="G350" s="14" t="s">
        <v>42</v>
      </c>
      <c r="H350" s="16" t="n">
        <v>46531</v>
      </c>
      <c r="I350" s="16" t="n">
        <v>46542</v>
      </c>
      <c r="J350" s="16" t="n">
        <v>46563</v>
      </c>
      <c r="K350" s="16" t="n">
        <v>46577</v>
      </c>
      <c r="L350" s="16" t="n">
        <v>46591</v>
      </c>
      <c r="M350" s="16" t="n">
        <v>46598</v>
      </c>
      <c r="N350" s="17"/>
      <c r="O350" s="16" t="n">
        <f aca="false">IF(N350&lt;&gt;"",N350,M350)</f>
        <v>46598</v>
      </c>
      <c r="P350" s="18" t="s">
        <v>31</v>
      </c>
      <c r="Q350" s="19" t="s">
        <v>1116</v>
      </c>
      <c r="R350" s="19"/>
      <c r="S350" s="14" t="str">
        <f aca="true">IF(AND(O350&lt;TODAY(),P350&lt;&gt;"Approved",P350&lt;&gt;"Live",P350&lt;&gt;"Not applicable"),"Overdue","")</f>
        <v/>
      </c>
      <c r="T350" s="14" t="str">
        <f aca="true">IF(S350="Overdue",TODAY()-O350,"")</f>
        <v/>
      </c>
    </row>
    <row r="351" customFormat="false" ht="46.25" hidden="false" customHeight="false" outlineLevel="0" collapsed="false">
      <c r="A351" s="14" t="s">
        <v>1117</v>
      </c>
      <c r="B351" s="15" t="s">
        <v>1118</v>
      </c>
      <c r="C351" s="14" t="s">
        <v>55</v>
      </c>
      <c r="D351" s="14" t="s">
        <v>1115</v>
      </c>
      <c r="E351" s="14" t="s">
        <v>102</v>
      </c>
      <c r="F351" s="15" t="s">
        <v>50</v>
      </c>
      <c r="G351" s="14" t="s">
        <v>42</v>
      </c>
      <c r="H351" s="16" t="n">
        <v>46531</v>
      </c>
      <c r="I351" s="16" t="n">
        <v>46542</v>
      </c>
      <c r="J351" s="16" t="n">
        <v>46563</v>
      </c>
      <c r="K351" s="16" t="n">
        <v>46577</v>
      </c>
      <c r="L351" s="16" t="n">
        <v>46591</v>
      </c>
      <c r="M351" s="16" t="n">
        <v>46598</v>
      </c>
      <c r="N351" s="17"/>
      <c r="O351" s="16" t="n">
        <f aca="false">IF(N351&lt;&gt;"",N351,M351)</f>
        <v>46598</v>
      </c>
      <c r="P351" s="18" t="s">
        <v>31</v>
      </c>
      <c r="Q351" s="19" t="s">
        <v>1119</v>
      </c>
      <c r="R351" s="19"/>
      <c r="S351" s="14" t="str">
        <f aca="true">IF(AND(O351&lt;TODAY(),P351&lt;&gt;"Approved",P351&lt;&gt;"Live",P351&lt;&gt;"Not applicable"),"Overdue","")</f>
        <v/>
      </c>
      <c r="T351" s="14" t="str">
        <f aca="true">IF(S351="Overdue",TODAY()-O351,"")</f>
        <v/>
      </c>
    </row>
    <row r="352" customFormat="false" ht="35.05" hidden="false" customHeight="false" outlineLevel="0" collapsed="false">
      <c r="A352" s="14" t="s">
        <v>1120</v>
      </c>
      <c r="B352" s="15" t="s">
        <v>1121</v>
      </c>
      <c r="C352" s="14" t="s">
        <v>55</v>
      </c>
      <c r="D352" s="14" t="s">
        <v>1115</v>
      </c>
      <c r="E352" s="14" t="s">
        <v>102</v>
      </c>
      <c r="F352" s="15" t="s">
        <v>50</v>
      </c>
      <c r="G352" s="14" t="s">
        <v>42</v>
      </c>
      <c r="H352" s="16" t="n">
        <v>46531</v>
      </c>
      <c r="I352" s="16" t="n">
        <v>46542</v>
      </c>
      <c r="J352" s="16" t="n">
        <v>46563</v>
      </c>
      <c r="K352" s="16" t="n">
        <v>46577</v>
      </c>
      <c r="L352" s="16" t="n">
        <v>46591</v>
      </c>
      <c r="M352" s="16" t="n">
        <v>46598</v>
      </c>
      <c r="N352" s="17"/>
      <c r="O352" s="16" t="n">
        <f aca="false">IF(N352&lt;&gt;"",N352,M352)</f>
        <v>46598</v>
      </c>
      <c r="P352" s="18" t="s">
        <v>31</v>
      </c>
      <c r="Q352" s="19" t="s">
        <v>1122</v>
      </c>
      <c r="R352" s="19"/>
      <c r="S352" s="14" t="str">
        <f aca="true">IF(AND(O352&lt;TODAY(),P352&lt;&gt;"Approved",P352&lt;&gt;"Live",P352&lt;&gt;"Not applicable"),"Overdue","")</f>
        <v/>
      </c>
      <c r="T352" s="14" t="str">
        <f aca="true">IF(S352="Overdue",TODAY()-O352,"")</f>
        <v/>
      </c>
    </row>
    <row r="353" customFormat="false" ht="35.05" hidden="false" customHeight="false" outlineLevel="0" collapsed="false">
      <c r="A353" s="14" t="s">
        <v>1123</v>
      </c>
      <c r="B353" s="15" t="s">
        <v>1124</v>
      </c>
      <c r="C353" s="14" t="s">
        <v>55</v>
      </c>
      <c r="D353" s="14" t="s">
        <v>101</v>
      </c>
      <c r="E353" s="14" t="s">
        <v>102</v>
      </c>
      <c r="F353" s="15" t="s">
        <v>46</v>
      </c>
      <c r="G353" s="14" t="s">
        <v>42</v>
      </c>
      <c r="H353" s="16" t="n">
        <v>46531</v>
      </c>
      <c r="I353" s="16" t="n">
        <v>46542</v>
      </c>
      <c r="J353" s="16" t="n">
        <v>46563</v>
      </c>
      <c r="K353" s="16" t="n">
        <v>46577</v>
      </c>
      <c r="L353" s="16" t="n">
        <v>46591</v>
      </c>
      <c r="M353" s="16" t="n">
        <v>46598</v>
      </c>
      <c r="N353" s="17"/>
      <c r="O353" s="16" t="n">
        <f aca="false">IF(N353&lt;&gt;"",N353,M353)</f>
        <v>46598</v>
      </c>
      <c r="P353" s="18" t="s">
        <v>31</v>
      </c>
      <c r="Q353" s="19" t="s">
        <v>1125</v>
      </c>
      <c r="R353" s="19"/>
      <c r="S353" s="14" t="str">
        <f aca="true">IF(AND(O353&lt;TODAY(),P353&lt;&gt;"Approved",P353&lt;&gt;"Live",P353&lt;&gt;"Not applicable"),"Overdue","")</f>
        <v/>
      </c>
      <c r="T353" s="14" t="str">
        <f aca="true">IF(S353="Overdue",TODAY()-O353,"")</f>
        <v/>
      </c>
    </row>
    <row r="354" customFormat="false" ht="35.05" hidden="false" customHeight="false" outlineLevel="0" collapsed="false">
      <c r="A354" s="14" t="s">
        <v>1126</v>
      </c>
      <c r="B354" s="15" t="s">
        <v>1127</v>
      </c>
      <c r="C354" s="14" t="s">
        <v>55</v>
      </c>
      <c r="D354" s="14" t="s">
        <v>101</v>
      </c>
      <c r="E354" s="14" t="s">
        <v>102</v>
      </c>
      <c r="F354" s="15" t="s">
        <v>46</v>
      </c>
      <c r="G354" s="14" t="s">
        <v>42</v>
      </c>
      <c r="H354" s="16" t="n">
        <v>46531</v>
      </c>
      <c r="I354" s="16" t="n">
        <v>46542</v>
      </c>
      <c r="J354" s="16" t="n">
        <v>46563</v>
      </c>
      <c r="K354" s="16" t="n">
        <v>46577</v>
      </c>
      <c r="L354" s="16" t="n">
        <v>46591</v>
      </c>
      <c r="M354" s="16" t="n">
        <v>46598</v>
      </c>
      <c r="N354" s="17"/>
      <c r="O354" s="16" t="n">
        <f aca="false">IF(N354&lt;&gt;"",N354,M354)</f>
        <v>46598</v>
      </c>
      <c r="P354" s="18" t="s">
        <v>31</v>
      </c>
      <c r="Q354" s="19" t="s">
        <v>1128</v>
      </c>
      <c r="R354" s="19"/>
      <c r="S354" s="14" t="str">
        <f aca="true">IF(AND(O354&lt;TODAY(),P354&lt;&gt;"Approved",P354&lt;&gt;"Live",P354&lt;&gt;"Not applicable"),"Overdue","")</f>
        <v/>
      </c>
      <c r="T354" s="14" t="str">
        <f aca="true">IF(S354="Overdue",TODAY()-O354,"")</f>
        <v/>
      </c>
    </row>
    <row r="355" customFormat="false" ht="35.05" hidden="false" customHeight="false" outlineLevel="0" collapsed="false">
      <c r="A355" s="14" t="s">
        <v>1129</v>
      </c>
      <c r="B355" s="15" t="s">
        <v>1130</v>
      </c>
      <c r="C355" s="14" t="s">
        <v>55</v>
      </c>
      <c r="D355" s="14" t="s">
        <v>148</v>
      </c>
      <c r="E355" s="14" t="s">
        <v>102</v>
      </c>
      <c r="F355" s="15" t="s">
        <v>50</v>
      </c>
      <c r="G355" s="14" t="s">
        <v>42</v>
      </c>
      <c r="H355" s="16" t="n">
        <v>46531</v>
      </c>
      <c r="I355" s="16" t="n">
        <v>46542</v>
      </c>
      <c r="J355" s="16" t="n">
        <v>46563</v>
      </c>
      <c r="K355" s="16" t="n">
        <v>46577</v>
      </c>
      <c r="L355" s="16" t="n">
        <v>46591</v>
      </c>
      <c r="M355" s="16" t="n">
        <v>46598</v>
      </c>
      <c r="N355" s="17"/>
      <c r="O355" s="16" t="n">
        <f aca="false">IF(N355&lt;&gt;"",N355,M355)</f>
        <v>46598</v>
      </c>
      <c r="P355" s="18" t="s">
        <v>31</v>
      </c>
      <c r="Q355" s="19" t="s">
        <v>1131</v>
      </c>
      <c r="R355" s="19"/>
      <c r="S355" s="14" t="str">
        <f aca="true">IF(AND(O355&lt;TODAY(),P355&lt;&gt;"Approved",P355&lt;&gt;"Live",P355&lt;&gt;"Not applicable"),"Overdue","")</f>
        <v/>
      </c>
      <c r="T355" s="14" t="str">
        <f aca="true">IF(S355="Overdue",TODAY()-O355,"")</f>
        <v/>
      </c>
    </row>
    <row r="356" customFormat="false" ht="35.05" hidden="false" customHeight="false" outlineLevel="0" collapsed="false">
      <c r="A356" s="14" t="s">
        <v>1132</v>
      </c>
      <c r="B356" s="15" t="s">
        <v>1133</v>
      </c>
      <c r="C356" s="14" t="s">
        <v>55</v>
      </c>
      <c r="D356" s="14" t="s">
        <v>163</v>
      </c>
      <c r="E356" s="14" t="s">
        <v>102</v>
      </c>
      <c r="F356" s="15" t="s">
        <v>48</v>
      </c>
      <c r="G356" s="14" t="s">
        <v>42</v>
      </c>
      <c r="H356" s="16" t="n">
        <v>46531</v>
      </c>
      <c r="I356" s="16" t="n">
        <v>46542</v>
      </c>
      <c r="J356" s="16" t="n">
        <v>46563</v>
      </c>
      <c r="K356" s="16" t="n">
        <v>46577</v>
      </c>
      <c r="L356" s="16" t="n">
        <v>46591</v>
      </c>
      <c r="M356" s="16" t="n">
        <v>46598</v>
      </c>
      <c r="N356" s="17"/>
      <c r="O356" s="16" t="n">
        <f aca="false">IF(N356&lt;&gt;"",N356,M356)</f>
        <v>46598</v>
      </c>
      <c r="P356" s="18" t="s">
        <v>31</v>
      </c>
      <c r="Q356" s="19" t="s">
        <v>1134</v>
      </c>
      <c r="R356" s="19"/>
      <c r="S356" s="14" t="str">
        <f aca="true">IF(AND(O356&lt;TODAY(),P356&lt;&gt;"Approved",P356&lt;&gt;"Live",P356&lt;&gt;"Not applicable"),"Overdue","")</f>
        <v/>
      </c>
      <c r="T356" s="14" t="str">
        <f aca="true">IF(S356="Overdue",TODAY()-O356,"")</f>
        <v/>
      </c>
    </row>
    <row r="357" customFormat="false" ht="23.85" hidden="false" customHeight="false" outlineLevel="0" collapsed="false">
      <c r="A357" s="14" t="s">
        <v>1135</v>
      </c>
      <c r="B357" s="15" t="s">
        <v>1136</v>
      </c>
      <c r="C357" s="14" t="s">
        <v>55</v>
      </c>
      <c r="D357" s="14" t="s">
        <v>190</v>
      </c>
      <c r="E357" s="14" t="s">
        <v>102</v>
      </c>
      <c r="F357" s="15" t="s">
        <v>48</v>
      </c>
      <c r="G357" s="14" t="s">
        <v>42</v>
      </c>
      <c r="H357" s="16" t="n">
        <v>46531</v>
      </c>
      <c r="I357" s="16" t="n">
        <v>46542</v>
      </c>
      <c r="J357" s="16" t="n">
        <v>46563</v>
      </c>
      <c r="K357" s="16" t="n">
        <v>46577</v>
      </c>
      <c r="L357" s="16" t="n">
        <v>46591</v>
      </c>
      <c r="M357" s="16" t="n">
        <v>46598</v>
      </c>
      <c r="N357" s="17"/>
      <c r="O357" s="16" t="n">
        <f aca="false">IF(N357&lt;&gt;"",N357,M357)</f>
        <v>46598</v>
      </c>
      <c r="P357" s="18" t="s">
        <v>31</v>
      </c>
      <c r="Q357" s="19" t="s">
        <v>1137</v>
      </c>
      <c r="R357" s="19"/>
      <c r="S357" s="14" t="str">
        <f aca="true">IF(AND(O357&lt;TODAY(),P357&lt;&gt;"Approved",P357&lt;&gt;"Live",P357&lt;&gt;"Not applicable"),"Overdue","")</f>
        <v/>
      </c>
      <c r="T357" s="14" t="str">
        <f aca="true">IF(S357="Overdue",TODAY()-O357,"")</f>
        <v/>
      </c>
    </row>
    <row r="358" customFormat="false" ht="35.05" hidden="false" customHeight="false" outlineLevel="0" collapsed="false">
      <c r="A358" s="14" t="s">
        <v>1138</v>
      </c>
      <c r="B358" s="15" t="s">
        <v>1139</v>
      </c>
      <c r="C358" s="14" t="s">
        <v>55</v>
      </c>
      <c r="D358" s="14" t="s">
        <v>190</v>
      </c>
      <c r="E358" s="14" t="s">
        <v>102</v>
      </c>
      <c r="F358" s="15" t="s">
        <v>48</v>
      </c>
      <c r="G358" s="14" t="s">
        <v>42</v>
      </c>
      <c r="H358" s="16" t="n">
        <v>46531</v>
      </c>
      <c r="I358" s="16" t="n">
        <v>46542</v>
      </c>
      <c r="J358" s="16" t="n">
        <v>46563</v>
      </c>
      <c r="K358" s="16" t="n">
        <v>46577</v>
      </c>
      <c r="L358" s="16" t="n">
        <v>46591</v>
      </c>
      <c r="M358" s="16" t="n">
        <v>46598</v>
      </c>
      <c r="N358" s="17"/>
      <c r="O358" s="16" t="n">
        <f aca="false">IF(N358&lt;&gt;"",N358,M358)</f>
        <v>46598</v>
      </c>
      <c r="P358" s="18" t="s">
        <v>31</v>
      </c>
      <c r="Q358" s="19" t="s">
        <v>1140</v>
      </c>
      <c r="R358" s="19"/>
      <c r="S358" s="14" t="str">
        <f aca="true">IF(AND(O358&lt;TODAY(),P358&lt;&gt;"Approved",P358&lt;&gt;"Live",P358&lt;&gt;"Not applicable"),"Overdue","")</f>
        <v/>
      </c>
      <c r="T358" s="14" t="str">
        <f aca="true">IF(S358="Overdue",TODAY()-O358,"")</f>
        <v/>
      </c>
    </row>
    <row r="359" customFormat="false" ht="23.85" hidden="false" customHeight="false" outlineLevel="0" collapsed="false">
      <c r="A359" s="14" t="s">
        <v>1141</v>
      </c>
      <c r="B359" s="15" t="s">
        <v>1142</v>
      </c>
      <c r="C359" s="14" t="s">
        <v>55</v>
      </c>
      <c r="D359" s="14" t="s">
        <v>190</v>
      </c>
      <c r="E359" s="14" t="s">
        <v>102</v>
      </c>
      <c r="F359" s="15" t="s">
        <v>48</v>
      </c>
      <c r="G359" s="14" t="s">
        <v>42</v>
      </c>
      <c r="H359" s="16" t="n">
        <v>46531</v>
      </c>
      <c r="I359" s="16" t="n">
        <v>46542</v>
      </c>
      <c r="J359" s="16" t="n">
        <v>46563</v>
      </c>
      <c r="K359" s="16" t="n">
        <v>46577</v>
      </c>
      <c r="L359" s="16" t="n">
        <v>46591</v>
      </c>
      <c r="M359" s="16" t="n">
        <v>46598</v>
      </c>
      <c r="N359" s="17"/>
      <c r="O359" s="16" t="n">
        <f aca="false">IF(N359&lt;&gt;"",N359,M359)</f>
        <v>46598</v>
      </c>
      <c r="P359" s="18" t="s">
        <v>31</v>
      </c>
      <c r="Q359" s="19" t="s">
        <v>1143</v>
      </c>
      <c r="R359" s="19"/>
      <c r="S359" s="14" t="str">
        <f aca="true">IF(AND(O359&lt;TODAY(),P359&lt;&gt;"Approved",P359&lt;&gt;"Live",P359&lt;&gt;"Not applicable"),"Overdue","")</f>
        <v/>
      </c>
      <c r="T359" s="14" t="str">
        <f aca="true">IF(S359="Overdue",TODAY()-O359,"")</f>
        <v/>
      </c>
    </row>
    <row r="360" customFormat="false" ht="35.05" hidden="false" customHeight="false" outlineLevel="0" collapsed="false">
      <c r="A360" s="14" t="s">
        <v>1144</v>
      </c>
      <c r="B360" s="15" t="s">
        <v>1145</v>
      </c>
      <c r="C360" s="14" t="s">
        <v>55</v>
      </c>
      <c r="D360" s="14" t="s">
        <v>190</v>
      </c>
      <c r="E360" s="14" t="s">
        <v>102</v>
      </c>
      <c r="F360" s="15" t="s">
        <v>48</v>
      </c>
      <c r="G360" s="14" t="s">
        <v>42</v>
      </c>
      <c r="H360" s="16" t="n">
        <v>46531</v>
      </c>
      <c r="I360" s="16" t="n">
        <v>46542</v>
      </c>
      <c r="J360" s="16" t="n">
        <v>46563</v>
      </c>
      <c r="K360" s="16" t="n">
        <v>46577</v>
      </c>
      <c r="L360" s="16" t="n">
        <v>46591</v>
      </c>
      <c r="M360" s="16" t="n">
        <v>46598</v>
      </c>
      <c r="N360" s="17"/>
      <c r="O360" s="16" t="n">
        <f aca="false">IF(N360&lt;&gt;"",N360,M360)</f>
        <v>46598</v>
      </c>
      <c r="P360" s="18" t="s">
        <v>31</v>
      </c>
      <c r="Q360" s="19" t="s">
        <v>1146</v>
      </c>
      <c r="R360" s="19"/>
      <c r="S360" s="14" t="str">
        <f aca="true">IF(AND(O360&lt;TODAY(),P360&lt;&gt;"Approved",P360&lt;&gt;"Live",P360&lt;&gt;"Not applicable"),"Overdue","")</f>
        <v/>
      </c>
      <c r="T360" s="14" t="str">
        <f aca="true">IF(S360="Overdue",TODAY()-O360,"")</f>
        <v/>
      </c>
    </row>
    <row r="361" customFormat="false" ht="46.25" hidden="false" customHeight="false" outlineLevel="0" collapsed="false">
      <c r="A361" s="14" t="s">
        <v>1147</v>
      </c>
      <c r="B361" s="15" t="s">
        <v>1148</v>
      </c>
      <c r="C361" s="14" t="s">
        <v>55</v>
      </c>
      <c r="D361" s="14" t="s">
        <v>190</v>
      </c>
      <c r="E361" s="14" t="s">
        <v>102</v>
      </c>
      <c r="F361" s="15" t="s">
        <v>48</v>
      </c>
      <c r="G361" s="14" t="s">
        <v>42</v>
      </c>
      <c r="H361" s="16" t="n">
        <v>46531</v>
      </c>
      <c r="I361" s="16" t="n">
        <v>46542</v>
      </c>
      <c r="J361" s="16" t="n">
        <v>46563</v>
      </c>
      <c r="K361" s="16" t="n">
        <v>46577</v>
      </c>
      <c r="L361" s="16" t="n">
        <v>46591</v>
      </c>
      <c r="M361" s="16" t="n">
        <v>46598</v>
      </c>
      <c r="N361" s="17"/>
      <c r="O361" s="16" t="n">
        <f aca="false">IF(N361&lt;&gt;"",N361,M361)</f>
        <v>46598</v>
      </c>
      <c r="P361" s="18" t="s">
        <v>31</v>
      </c>
      <c r="Q361" s="19" t="s">
        <v>1149</v>
      </c>
      <c r="R361" s="19"/>
      <c r="S361" s="14" t="str">
        <f aca="true">IF(AND(O361&lt;TODAY(),P361&lt;&gt;"Approved",P361&lt;&gt;"Live",P361&lt;&gt;"Not applicable"),"Overdue","")</f>
        <v/>
      </c>
      <c r="T361" s="14" t="str">
        <f aca="true">IF(S361="Overdue",TODAY()-O361,"")</f>
        <v/>
      </c>
    </row>
    <row r="362" customFormat="false" ht="23.85" hidden="false" customHeight="false" outlineLevel="0" collapsed="false">
      <c r="A362" s="14" t="s">
        <v>1150</v>
      </c>
      <c r="B362" s="15" t="s">
        <v>1151</v>
      </c>
      <c r="C362" s="14" t="s">
        <v>57</v>
      </c>
      <c r="D362" s="14" t="s">
        <v>101</v>
      </c>
      <c r="E362" s="14" t="s">
        <v>102</v>
      </c>
      <c r="F362" s="15" t="s">
        <v>46</v>
      </c>
      <c r="G362" s="14" t="s">
        <v>42</v>
      </c>
      <c r="H362" s="16" t="n">
        <v>46531</v>
      </c>
      <c r="I362" s="16" t="n">
        <v>46542</v>
      </c>
      <c r="J362" s="16" t="n">
        <v>46563</v>
      </c>
      <c r="K362" s="16" t="n">
        <v>46577</v>
      </c>
      <c r="L362" s="16" t="n">
        <v>46591</v>
      </c>
      <c r="M362" s="16" t="n">
        <v>46598</v>
      </c>
      <c r="N362" s="17"/>
      <c r="O362" s="16" t="n">
        <f aca="false">IF(N362&lt;&gt;"",N362,M362)</f>
        <v>46598</v>
      </c>
      <c r="P362" s="18" t="s">
        <v>31</v>
      </c>
      <c r="Q362" s="19" t="s">
        <v>894</v>
      </c>
      <c r="R362" s="19"/>
      <c r="S362" s="14" t="str">
        <f aca="true">IF(AND(O362&lt;TODAY(),P362&lt;&gt;"Approved",P362&lt;&gt;"Live",P362&lt;&gt;"Not applicable"),"Overdue","")</f>
        <v/>
      </c>
      <c r="T362" s="14" t="str">
        <f aca="true">IF(S362="Overdue",TODAY()-O362,"")</f>
        <v/>
      </c>
    </row>
    <row r="363" customFormat="false" ht="23.85" hidden="false" customHeight="false" outlineLevel="0" collapsed="false">
      <c r="A363" s="14" t="s">
        <v>1152</v>
      </c>
      <c r="B363" s="15" t="s">
        <v>1153</v>
      </c>
      <c r="C363" s="14" t="s">
        <v>57</v>
      </c>
      <c r="D363" s="14" t="s">
        <v>101</v>
      </c>
      <c r="E363" s="14" t="s">
        <v>102</v>
      </c>
      <c r="F363" s="15" t="s">
        <v>46</v>
      </c>
      <c r="G363" s="14" t="s">
        <v>42</v>
      </c>
      <c r="H363" s="16" t="n">
        <v>46531</v>
      </c>
      <c r="I363" s="16" t="n">
        <v>46542</v>
      </c>
      <c r="J363" s="16" t="n">
        <v>46563</v>
      </c>
      <c r="K363" s="16" t="n">
        <v>46577</v>
      </c>
      <c r="L363" s="16" t="n">
        <v>46591</v>
      </c>
      <c r="M363" s="16" t="n">
        <v>46598</v>
      </c>
      <c r="N363" s="17"/>
      <c r="O363" s="16" t="n">
        <f aca="false">IF(N363&lt;&gt;"",N363,M363)</f>
        <v>46598</v>
      </c>
      <c r="P363" s="18" t="s">
        <v>31</v>
      </c>
      <c r="Q363" s="19" t="s">
        <v>1056</v>
      </c>
      <c r="R363" s="19"/>
      <c r="S363" s="14" t="str">
        <f aca="true">IF(AND(O363&lt;TODAY(),P363&lt;&gt;"Approved",P363&lt;&gt;"Live",P363&lt;&gt;"Not applicable"),"Overdue","")</f>
        <v/>
      </c>
      <c r="T363" s="14" t="str">
        <f aca="true">IF(S363="Overdue",TODAY()-O363,"")</f>
        <v/>
      </c>
    </row>
    <row r="364" customFormat="false" ht="23.85" hidden="false" customHeight="false" outlineLevel="0" collapsed="false">
      <c r="A364" s="14" t="s">
        <v>1154</v>
      </c>
      <c r="B364" s="15" t="s">
        <v>1155</v>
      </c>
      <c r="C364" s="14" t="s">
        <v>56</v>
      </c>
      <c r="D364" s="14" t="s">
        <v>101</v>
      </c>
      <c r="E364" s="14" t="s">
        <v>102</v>
      </c>
      <c r="F364" s="15" t="s">
        <v>46</v>
      </c>
      <c r="G364" s="14" t="s">
        <v>42</v>
      </c>
      <c r="H364" s="16" t="n">
        <v>46531</v>
      </c>
      <c r="I364" s="16" t="n">
        <v>46542</v>
      </c>
      <c r="J364" s="16" t="n">
        <v>46563</v>
      </c>
      <c r="K364" s="16" t="n">
        <v>46577</v>
      </c>
      <c r="L364" s="16" t="n">
        <v>46591</v>
      </c>
      <c r="M364" s="16" t="n">
        <v>46598</v>
      </c>
      <c r="N364" s="17"/>
      <c r="O364" s="16" t="n">
        <f aca="false">IF(N364&lt;&gt;"",N364,M364)</f>
        <v>46598</v>
      </c>
      <c r="P364" s="18" t="s">
        <v>31</v>
      </c>
      <c r="Q364" s="19" t="s">
        <v>1156</v>
      </c>
      <c r="R364" s="19"/>
      <c r="S364" s="14" t="str">
        <f aca="true">IF(AND(O364&lt;TODAY(),P364&lt;&gt;"Approved",P364&lt;&gt;"Live",P364&lt;&gt;"Not applicable"),"Overdue","")</f>
        <v/>
      </c>
      <c r="T364" s="14" t="str">
        <f aca="true">IF(S364="Overdue",TODAY()-O364,"")</f>
        <v/>
      </c>
    </row>
    <row r="365" customFormat="false" ht="23.85" hidden="false" customHeight="false" outlineLevel="0" collapsed="false">
      <c r="A365" s="14" t="s">
        <v>1157</v>
      </c>
      <c r="B365" s="15" t="s">
        <v>1158</v>
      </c>
      <c r="C365" s="14" t="s">
        <v>56</v>
      </c>
      <c r="D365" s="14" t="s">
        <v>101</v>
      </c>
      <c r="E365" s="14" t="s">
        <v>102</v>
      </c>
      <c r="F365" s="15" t="s">
        <v>46</v>
      </c>
      <c r="G365" s="14" t="s">
        <v>42</v>
      </c>
      <c r="H365" s="16" t="n">
        <v>46531</v>
      </c>
      <c r="I365" s="16" t="n">
        <v>46542</v>
      </c>
      <c r="J365" s="16" t="n">
        <v>46563</v>
      </c>
      <c r="K365" s="16" t="n">
        <v>46577</v>
      </c>
      <c r="L365" s="16" t="n">
        <v>46591</v>
      </c>
      <c r="M365" s="16" t="n">
        <v>46598</v>
      </c>
      <c r="N365" s="17"/>
      <c r="O365" s="16" t="n">
        <f aca="false">IF(N365&lt;&gt;"",N365,M365)</f>
        <v>46598</v>
      </c>
      <c r="P365" s="18" t="s">
        <v>31</v>
      </c>
      <c r="Q365" s="19" t="s">
        <v>1159</v>
      </c>
      <c r="R365" s="19"/>
      <c r="S365" s="14" t="str">
        <f aca="true">IF(AND(O365&lt;TODAY(),P365&lt;&gt;"Approved",P365&lt;&gt;"Live",P365&lt;&gt;"Not applicable"),"Overdue","")</f>
        <v/>
      </c>
      <c r="T365" s="14" t="str">
        <f aca="true">IF(S365="Overdue",TODAY()-O365,"")</f>
        <v/>
      </c>
    </row>
    <row r="366" customFormat="false" ht="23.85" hidden="false" customHeight="false" outlineLevel="0" collapsed="false">
      <c r="A366" s="14" t="s">
        <v>1160</v>
      </c>
      <c r="B366" s="15" t="s">
        <v>1161</v>
      </c>
      <c r="C366" s="14" t="s">
        <v>57</v>
      </c>
      <c r="D366" s="14" t="s">
        <v>170</v>
      </c>
      <c r="E366" s="14" t="s">
        <v>102</v>
      </c>
      <c r="F366" s="15" t="s">
        <v>51</v>
      </c>
      <c r="G366" s="14" t="s">
        <v>42</v>
      </c>
      <c r="H366" s="16" t="n">
        <v>46531</v>
      </c>
      <c r="I366" s="16" t="n">
        <v>46542</v>
      </c>
      <c r="J366" s="16" t="n">
        <v>46563</v>
      </c>
      <c r="K366" s="16" t="n">
        <v>46577</v>
      </c>
      <c r="L366" s="16" t="n">
        <v>46591</v>
      </c>
      <c r="M366" s="16" t="n">
        <v>46598</v>
      </c>
      <c r="N366" s="17"/>
      <c r="O366" s="16" t="n">
        <f aca="false">IF(N366&lt;&gt;"",N366,M366)</f>
        <v>46598</v>
      </c>
      <c r="P366" s="18" t="s">
        <v>31</v>
      </c>
      <c r="Q366" s="19" t="s">
        <v>1162</v>
      </c>
      <c r="R366" s="19"/>
      <c r="S366" s="14" t="str">
        <f aca="true">IF(AND(O366&lt;TODAY(),P366&lt;&gt;"Approved",P366&lt;&gt;"Live",P366&lt;&gt;"Not applicable"),"Overdue","")</f>
        <v/>
      </c>
      <c r="T366" s="14" t="str">
        <f aca="true">IF(S366="Overdue",TODAY()-O366,"")</f>
        <v/>
      </c>
    </row>
    <row r="367" customFormat="false" ht="35.05" hidden="false" customHeight="false" outlineLevel="0" collapsed="false">
      <c r="A367" s="14" t="s">
        <v>1163</v>
      </c>
      <c r="B367" s="15" t="s">
        <v>1164</v>
      </c>
      <c r="C367" s="14" t="s">
        <v>55</v>
      </c>
      <c r="D367" s="14" t="s">
        <v>109</v>
      </c>
      <c r="E367" s="14" t="s">
        <v>102</v>
      </c>
      <c r="F367" s="15" t="s">
        <v>47</v>
      </c>
      <c r="G367" s="14" t="s">
        <v>42</v>
      </c>
      <c r="H367" s="16" t="n">
        <v>46531</v>
      </c>
      <c r="I367" s="16" t="n">
        <v>46542</v>
      </c>
      <c r="J367" s="16" t="n">
        <v>46563</v>
      </c>
      <c r="K367" s="16" t="n">
        <v>46577</v>
      </c>
      <c r="L367" s="16" t="n">
        <v>46591</v>
      </c>
      <c r="M367" s="16" t="n">
        <v>46598</v>
      </c>
      <c r="N367" s="17"/>
      <c r="O367" s="16" t="n">
        <f aca="false">IF(N367&lt;&gt;"",N367,M367)</f>
        <v>46598</v>
      </c>
      <c r="P367" s="18" t="s">
        <v>31</v>
      </c>
      <c r="Q367" s="19" t="s">
        <v>1165</v>
      </c>
      <c r="R367" s="19"/>
      <c r="S367" s="14" t="str">
        <f aca="true">IF(AND(O367&lt;TODAY(),P367&lt;&gt;"Approved",P367&lt;&gt;"Live",P367&lt;&gt;"Not applicable"),"Overdue","")</f>
        <v/>
      </c>
      <c r="T367" s="14" t="str">
        <f aca="true">IF(S367="Overdue",TODAY()-O367,"")</f>
        <v/>
      </c>
    </row>
    <row r="368" customFormat="false" ht="46.25" hidden="false" customHeight="false" outlineLevel="0" collapsed="false">
      <c r="A368" s="14" t="s">
        <v>1166</v>
      </c>
      <c r="B368" s="15" t="s">
        <v>1167</v>
      </c>
      <c r="C368" s="14" t="s">
        <v>55</v>
      </c>
      <c r="D368" s="14" t="s">
        <v>109</v>
      </c>
      <c r="E368" s="14" t="s">
        <v>102</v>
      </c>
      <c r="F368" s="15" t="s">
        <v>47</v>
      </c>
      <c r="G368" s="14" t="s">
        <v>42</v>
      </c>
      <c r="H368" s="16" t="n">
        <v>46531</v>
      </c>
      <c r="I368" s="16" t="n">
        <v>46542</v>
      </c>
      <c r="J368" s="16" t="n">
        <v>46563</v>
      </c>
      <c r="K368" s="16" t="n">
        <v>46577</v>
      </c>
      <c r="L368" s="16" t="n">
        <v>46591</v>
      </c>
      <c r="M368" s="16" t="n">
        <v>46598</v>
      </c>
      <c r="N368" s="17"/>
      <c r="O368" s="16" t="n">
        <f aca="false">IF(N368&lt;&gt;"",N368,M368)</f>
        <v>46598</v>
      </c>
      <c r="P368" s="18" t="s">
        <v>31</v>
      </c>
      <c r="Q368" s="19" t="s">
        <v>1168</v>
      </c>
      <c r="R368" s="19"/>
      <c r="S368" s="14" t="str">
        <f aca="true">IF(AND(O368&lt;TODAY(),P368&lt;&gt;"Approved",P368&lt;&gt;"Live",P368&lt;&gt;"Not applicable"),"Overdue","")</f>
        <v/>
      </c>
      <c r="T368" s="14" t="str">
        <f aca="true">IF(S368="Overdue",TODAY()-O368,"")</f>
        <v/>
      </c>
    </row>
    <row r="369" customFormat="false" ht="46.25" hidden="false" customHeight="false" outlineLevel="0" collapsed="false">
      <c r="A369" s="14" t="s">
        <v>1169</v>
      </c>
      <c r="B369" s="15" t="s">
        <v>1170</v>
      </c>
      <c r="C369" s="14" t="s">
        <v>55</v>
      </c>
      <c r="D369" s="14" t="s">
        <v>109</v>
      </c>
      <c r="E369" s="14" t="s">
        <v>102</v>
      </c>
      <c r="F369" s="15" t="s">
        <v>47</v>
      </c>
      <c r="G369" s="14" t="s">
        <v>42</v>
      </c>
      <c r="H369" s="16" t="n">
        <v>46531</v>
      </c>
      <c r="I369" s="16" t="n">
        <v>46542</v>
      </c>
      <c r="J369" s="16" t="n">
        <v>46563</v>
      </c>
      <c r="K369" s="16" t="n">
        <v>46577</v>
      </c>
      <c r="L369" s="16" t="n">
        <v>46591</v>
      </c>
      <c r="M369" s="16" t="n">
        <v>46598</v>
      </c>
      <c r="N369" s="17"/>
      <c r="O369" s="16" t="n">
        <f aca="false">IF(N369&lt;&gt;"",N369,M369)</f>
        <v>46598</v>
      </c>
      <c r="P369" s="18" t="s">
        <v>31</v>
      </c>
      <c r="Q369" s="19" t="s">
        <v>1171</v>
      </c>
      <c r="R369" s="19"/>
      <c r="S369" s="14" t="str">
        <f aca="true">IF(AND(O369&lt;TODAY(),P369&lt;&gt;"Approved",P369&lt;&gt;"Live",P369&lt;&gt;"Not applicable"),"Overdue","")</f>
        <v/>
      </c>
      <c r="T369" s="14" t="str">
        <f aca="true">IF(S369="Overdue",TODAY()-O369,"")</f>
        <v/>
      </c>
    </row>
    <row r="370" customFormat="false" ht="46.25" hidden="false" customHeight="false" outlineLevel="0" collapsed="false">
      <c r="A370" s="14" t="s">
        <v>1172</v>
      </c>
      <c r="B370" s="15" t="s">
        <v>1173</v>
      </c>
      <c r="C370" s="14" t="s">
        <v>55</v>
      </c>
      <c r="D370" s="14" t="s">
        <v>170</v>
      </c>
      <c r="E370" s="14" t="s">
        <v>102</v>
      </c>
      <c r="F370" s="15" t="s">
        <v>51</v>
      </c>
      <c r="G370" s="14" t="s">
        <v>42</v>
      </c>
      <c r="H370" s="16" t="n">
        <v>46538</v>
      </c>
      <c r="I370" s="16" t="n">
        <v>46549</v>
      </c>
      <c r="J370" s="16" t="n">
        <v>46570</v>
      </c>
      <c r="K370" s="16" t="n">
        <v>46584</v>
      </c>
      <c r="L370" s="16" t="n">
        <v>46598</v>
      </c>
      <c r="M370" s="16" t="n">
        <v>46605</v>
      </c>
      <c r="N370" s="17"/>
      <c r="O370" s="16" t="n">
        <f aca="false">IF(N370&lt;&gt;"",N370,M370)</f>
        <v>46605</v>
      </c>
      <c r="P370" s="18" t="s">
        <v>31</v>
      </c>
      <c r="Q370" s="19" t="s">
        <v>1174</v>
      </c>
      <c r="R370" s="19"/>
      <c r="S370" s="14" t="str">
        <f aca="true">IF(AND(O370&lt;TODAY(),P370&lt;&gt;"Approved",P370&lt;&gt;"Live",P370&lt;&gt;"Not applicable"),"Overdue","")</f>
        <v/>
      </c>
      <c r="T370" s="14" t="str">
        <f aca="true">IF(S370="Overdue",TODAY()-O370,"")</f>
        <v/>
      </c>
    </row>
    <row r="371" customFormat="false" ht="23.85" hidden="false" customHeight="false" outlineLevel="0" collapsed="false">
      <c r="A371" s="14" t="s">
        <v>1175</v>
      </c>
      <c r="B371" s="15" t="s">
        <v>1176</v>
      </c>
      <c r="C371" s="14" t="s">
        <v>55</v>
      </c>
      <c r="D371" s="14" t="s">
        <v>170</v>
      </c>
      <c r="E371" s="14" t="s">
        <v>102</v>
      </c>
      <c r="F371" s="15" t="s">
        <v>51</v>
      </c>
      <c r="G371" s="14" t="s">
        <v>42</v>
      </c>
      <c r="H371" s="16" t="n">
        <v>46538</v>
      </c>
      <c r="I371" s="16" t="n">
        <v>46549</v>
      </c>
      <c r="J371" s="16" t="n">
        <v>46570</v>
      </c>
      <c r="K371" s="16" t="n">
        <v>46584</v>
      </c>
      <c r="L371" s="16" t="n">
        <v>46598</v>
      </c>
      <c r="M371" s="16" t="n">
        <v>46605</v>
      </c>
      <c r="N371" s="17"/>
      <c r="O371" s="16" t="n">
        <f aca="false">IF(N371&lt;&gt;"",N371,M371)</f>
        <v>46605</v>
      </c>
      <c r="P371" s="18" t="s">
        <v>31</v>
      </c>
      <c r="Q371" s="19" t="s">
        <v>1177</v>
      </c>
      <c r="R371" s="19"/>
      <c r="S371" s="14" t="str">
        <f aca="true">IF(AND(O371&lt;TODAY(),P371&lt;&gt;"Approved",P371&lt;&gt;"Live",P371&lt;&gt;"Not applicable"),"Overdue","")</f>
        <v/>
      </c>
      <c r="T371" s="14" t="str">
        <f aca="true">IF(S371="Overdue",TODAY()-O371,"")</f>
        <v/>
      </c>
    </row>
    <row r="372" customFormat="false" ht="46.25" hidden="false" customHeight="false" outlineLevel="0" collapsed="false">
      <c r="A372" s="14" t="s">
        <v>1178</v>
      </c>
      <c r="B372" s="15" t="s">
        <v>1179</v>
      </c>
      <c r="C372" s="14" t="s">
        <v>55</v>
      </c>
      <c r="D372" s="14" t="s">
        <v>232</v>
      </c>
      <c r="E372" s="14" t="s">
        <v>102</v>
      </c>
      <c r="F372" s="15" t="s">
        <v>49</v>
      </c>
      <c r="G372" s="14" t="s">
        <v>42</v>
      </c>
      <c r="H372" s="16" t="n">
        <v>46538</v>
      </c>
      <c r="I372" s="16" t="n">
        <v>46549</v>
      </c>
      <c r="J372" s="16" t="n">
        <v>46570</v>
      </c>
      <c r="K372" s="16" t="n">
        <v>46584</v>
      </c>
      <c r="L372" s="16" t="n">
        <v>46598</v>
      </c>
      <c r="M372" s="16" t="n">
        <v>46605</v>
      </c>
      <c r="N372" s="17"/>
      <c r="O372" s="16" t="n">
        <f aca="false">IF(N372&lt;&gt;"",N372,M372)</f>
        <v>46605</v>
      </c>
      <c r="P372" s="18" t="s">
        <v>31</v>
      </c>
      <c r="Q372" s="19" t="s">
        <v>1180</v>
      </c>
      <c r="R372" s="19"/>
      <c r="S372" s="14" t="str">
        <f aca="true">IF(AND(O372&lt;TODAY(),P372&lt;&gt;"Approved",P372&lt;&gt;"Live",P372&lt;&gt;"Not applicable"),"Overdue","")</f>
        <v/>
      </c>
      <c r="T372" s="14" t="str">
        <f aca="true">IF(S372="Overdue",TODAY()-O372,"")</f>
        <v/>
      </c>
    </row>
    <row r="373" customFormat="false" ht="46.25" hidden="false" customHeight="false" outlineLevel="0" collapsed="false">
      <c r="A373" s="14" t="s">
        <v>1181</v>
      </c>
      <c r="B373" s="15" t="s">
        <v>1182</v>
      </c>
      <c r="C373" s="14" t="s">
        <v>55</v>
      </c>
      <c r="D373" s="14" t="s">
        <v>232</v>
      </c>
      <c r="E373" s="14" t="s">
        <v>102</v>
      </c>
      <c r="F373" s="15" t="s">
        <v>49</v>
      </c>
      <c r="G373" s="14" t="s">
        <v>42</v>
      </c>
      <c r="H373" s="16" t="n">
        <v>46538</v>
      </c>
      <c r="I373" s="16" t="n">
        <v>46549</v>
      </c>
      <c r="J373" s="16" t="n">
        <v>46570</v>
      </c>
      <c r="K373" s="16" t="n">
        <v>46584</v>
      </c>
      <c r="L373" s="16" t="n">
        <v>46598</v>
      </c>
      <c r="M373" s="16" t="n">
        <v>46605</v>
      </c>
      <c r="N373" s="17"/>
      <c r="O373" s="16" t="n">
        <f aca="false">IF(N373&lt;&gt;"",N373,M373)</f>
        <v>46605</v>
      </c>
      <c r="P373" s="18" t="s">
        <v>31</v>
      </c>
      <c r="Q373" s="19" t="s">
        <v>1183</v>
      </c>
      <c r="R373" s="19"/>
      <c r="S373" s="14" t="str">
        <f aca="true">IF(AND(O373&lt;TODAY(),P373&lt;&gt;"Approved",P373&lt;&gt;"Live",P373&lt;&gt;"Not applicable"),"Overdue","")</f>
        <v/>
      </c>
      <c r="T373" s="14" t="str">
        <f aca="true">IF(S373="Overdue",TODAY()-O373,"")</f>
        <v/>
      </c>
    </row>
    <row r="374" customFormat="false" ht="46.25" hidden="false" customHeight="false" outlineLevel="0" collapsed="false">
      <c r="A374" s="14" t="s">
        <v>1184</v>
      </c>
      <c r="B374" s="15" t="s">
        <v>1185</v>
      </c>
      <c r="C374" s="14" t="s">
        <v>55</v>
      </c>
      <c r="D374" s="14" t="s">
        <v>232</v>
      </c>
      <c r="E374" s="14" t="s">
        <v>102</v>
      </c>
      <c r="F374" s="15" t="s">
        <v>49</v>
      </c>
      <c r="G374" s="14" t="s">
        <v>42</v>
      </c>
      <c r="H374" s="16" t="n">
        <v>46538</v>
      </c>
      <c r="I374" s="16" t="n">
        <v>46549</v>
      </c>
      <c r="J374" s="16" t="n">
        <v>46570</v>
      </c>
      <c r="K374" s="16" t="n">
        <v>46584</v>
      </c>
      <c r="L374" s="16" t="n">
        <v>46598</v>
      </c>
      <c r="M374" s="16" t="n">
        <v>46605</v>
      </c>
      <c r="N374" s="17"/>
      <c r="O374" s="16" t="n">
        <f aca="false">IF(N374&lt;&gt;"",N374,M374)</f>
        <v>46605</v>
      </c>
      <c r="P374" s="18" t="s">
        <v>31</v>
      </c>
      <c r="Q374" s="19" t="s">
        <v>1186</v>
      </c>
      <c r="R374" s="19"/>
      <c r="S374" s="14" t="str">
        <f aca="true">IF(AND(O374&lt;TODAY(),P374&lt;&gt;"Approved",P374&lt;&gt;"Live",P374&lt;&gt;"Not applicable"),"Overdue","")</f>
        <v/>
      </c>
      <c r="T374" s="14" t="str">
        <f aca="true">IF(S374="Overdue",TODAY()-O374,"")</f>
        <v/>
      </c>
    </row>
    <row r="375" customFormat="false" ht="35.05" hidden="false" customHeight="false" outlineLevel="0" collapsed="false">
      <c r="A375" s="14" t="s">
        <v>1187</v>
      </c>
      <c r="B375" s="15" t="s">
        <v>1188</v>
      </c>
      <c r="C375" s="14" t="s">
        <v>55</v>
      </c>
      <c r="D375" s="14" t="s">
        <v>232</v>
      </c>
      <c r="E375" s="14" t="s">
        <v>82</v>
      </c>
      <c r="F375" s="15" t="s">
        <v>49</v>
      </c>
      <c r="G375" s="14" t="s">
        <v>42</v>
      </c>
      <c r="H375" s="16" t="n">
        <v>46538</v>
      </c>
      <c r="I375" s="16" t="n">
        <v>46549</v>
      </c>
      <c r="J375" s="16" t="n">
        <v>46570</v>
      </c>
      <c r="K375" s="16" t="n">
        <v>46584</v>
      </c>
      <c r="L375" s="16" t="n">
        <v>46598</v>
      </c>
      <c r="M375" s="16" t="n">
        <v>46605</v>
      </c>
      <c r="N375" s="17"/>
      <c r="O375" s="16" t="n">
        <f aca="false">IF(N375&lt;&gt;"",N375,M375)</f>
        <v>46605</v>
      </c>
      <c r="P375" s="18" t="s">
        <v>31</v>
      </c>
      <c r="Q375" s="19" t="s">
        <v>1189</v>
      </c>
      <c r="R375" s="19"/>
      <c r="S375" s="14" t="str">
        <f aca="true">IF(AND(O375&lt;TODAY(),P375&lt;&gt;"Approved",P375&lt;&gt;"Live",P375&lt;&gt;"Not applicable"),"Overdue","")</f>
        <v/>
      </c>
      <c r="T375" s="14" t="str">
        <f aca="true">IF(S375="Overdue",TODAY()-O375,"")</f>
        <v/>
      </c>
    </row>
    <row r="376" customFormat="false" ht="46.25" hidden="false" customHeight="false" outlineLevel="0" collapsed="false">
      <c r="A376" s="14" t="s">
        <v>1190</v>
      </c>
      <c r="B376" s="15" t="s">
        <v>1191</v>
      </c>
      <c r="C376" s="14" t="s">
        <v>55</v>
      </c>
      <c r="D376" s="14" t="s">
        <v>232</v>
      </c>
      <c r="E376" s="14" t="s">
        <v>102</v>
      </c>
      <c r="F376" s="15" t="s">
        <v>49</v>
      </c>
      <c r="G376" s="14" t="s">
        <v>42</v>
      </c>
      <c r="H376" s="16" t="n">
        <v>46538</v>
      </c>
      <c r="I376" s="16" t="n">
        <v>46549</v>
      </c>
      <c r="J376" s="16" t="n">
        <v>46570</v>
      </c>
      <c r="K376" s="16" t="n">
        <v>46584</v>
      </c>
      <c r="L376" s="16" t="n">
        <v>46598</v>
      </c>
      <c r="M376" s="16" t="n">
        <v>46605</v>
      </c>
      <c r="N376" s="17"/>
      <c r="O376" s="16" t="n">
        <f aca="false">IF(N376&lt;&gt;"",N376,M376)</f>
        <v>46605</v>
      </c>
      <c r="P376" s="18" t="s">
        <v>31</v>
      </c>
      <c r="Q376" s="19" t="s">
        <v>1192</v>
      </c>
      <c r="R376" s="19"/>
      <c r="S376" s="14" t="str">
        <f aca="true">IF(AND(O376&lt;TODAY(),P376&lt;&gt;"Approved",P376&lt;&gt;"Live",P376&lt;&gt;"Not applicable"),"Overdue","")</f>
        <v/>
      </c>
      <c r="T376" s="14" t="str">
        <f aca="true">IF(S376="Overdue",TODAY()-O376,"")</f>
        <v/>
      </c>
    </row>
    <row r="377" customFormat="false" ht="35.05" hidden="false" customHeight="false" outlineLevel="0" collapsed="false">
      <c r="A377" s="14" t="s">
        <v>1193</v>
      </c>
      <c r="B377" s="15" t="s">
        <v>1194</v>
      </c>
      <c r="C377" s="14" t="s">
        <v>55</v>
      </c>
      <c r="D377" s="14" t="s">
        <v>101</v>
      </c>
      <c r="E377" s="14" t="s">
        <v>102</v>
      </c>
      <c r="F377" s="15" t="s">
        <v>46</v>
      </c>
      <c r="G377" s="14" t="s">
        <v>42</v>
      </c>
      <c r="H377" s="16" t="n">
        <v>46538</v>
      </c>
      <c r="I377" s="16" t="n">
        <v>46549</v>
      </c>
      <c r="J377" s="16" t="n">
        <v>46570</v>
      </c>
      <c r="K377" s="16" t="n">
        <v>46584</v>
      </c>
      <c r="L377" s="16" t="n">
        <v>46598</v>
      </c>
      <c r="M377" s="16" t="n">
        <v>46605</v>
      </c>
      <c r="N377" s="17"/>
      <c r="O377" s="16" t="n">
        <f aca="false">IF(N377&lt;&gt;"",N377,M377)</f>
        <v>46605</v>
      </c>
      <c r="P377" s="18" t="s">
        <v>31</v>
      </c>
      <c r="Q377" s="19" t="s">
        <v>1195</v>
      </c>
      <c r="R377" s="19"/>
      <c r="S377" s="14" t="str">
        <f aca="true">IF(AND(O377&lt;TODAY(),P377&lt;&gt;"Approved",P377&lt;&gt;"Live",P377&lt;&gt;"Not applicable"),"Overdue","")</f>
        <v/>
      </c>
      <c r="T377" s="14" t="str">
        <f aca="true">IF(S377="Overdue",TODAY()-O377,"")</f>
        <v/>
      </c>
    </row>
    <row r="378" customFormat="false" ht="46.25" hidden="false" customHeight="false" outlineLevel="0" collapsed="false">
      <c r="A378" s="14" t="s">
        <v>1196</v>
      </c>
      <c r="B378" s="15" t="s">
        <v>1197</v>
      </c>
      <c r="C378" s="14" t="s">
        <v>55</v>
      </c>
      <c r="D378" s="14" t="s">
        <v>101</v>
      </c>
      <c r="E378" s="14" t="s">
        <v>82</v>
      </c>
      <c r="F378" s="15" t="s">
        <v>46</v>
      </c>
      <c r="G378" s="14" t="s">
        <v>42</v>
      </c>
      <c r="H378" s="16" t="n">
        <v>46538</v>
      </c>
      <c r="I378" s="16" t="n">
        <v>46549</v>
      </c>
      <c r="J378" s="16" t="n">
        <v>46570</v>
      </c>
      <c r="K378" s="16" t="n">
        <v>46584</v>
      </c>
      <c r="L378" s="16" t="n">
        <v>46598</v>
      </c>
      <c r="M378" s="16" t="n">
        <v>46605</v>
      </c>
      <c r="N378" s="17"/>
      <c r="O378" s="16" t="n">
        <f aca="false">IF(N378&lt;&gt;"",N378,M378)</f>
        <v>46605</v>
      </c>
      <c r="P378" s="18" t="s">
        <v>31</v>
      </c>
      <c r="Q378" s="19" t="s">
        <v>1198</v>
      </c>
      <c r="R378" s="19"/>
      <c r="S378" s="14" t="str">
        <f aca="true">IF(AND(O378&lt;TODAY(),P378&lt;&gt;"Approved",P378&lt;&gt;"Live",P378&lt;&gt;"Not applicable"),"Overdue","")</f>
        <v/>
      </c>
      <c r="T378" s="14" t="str">
        <f aca="true">IF(S378="Overdue",TODAY()-O378,"")</f>
        <v/>
      </c>
    </row>
    <row r="379" customFormat="false" ht="35.05" hidden="false" customHeight="false" outlineLevel="0" collapsed="false">
      <c r="A379" s="14" t="s">
        <v>1199</v>
      </c>
      <c r="B379" s="15" t="s">
        <v>1200</v>
      </c>
      <c r="C379" s="14" t="s">
        <v>55</v>
      </c>
      <c r="D379" s="14" t="s">
        <v>101</v>
      </c>
      <c r="E379" s="14" t="s">
        <v>82</v>
      </c>
      <c r="F379" s="15" t="s">
        <v>46</v>
      </c>
      <c r="G379" s="14" t="s">
        <v>42</v>
      </c>
      <c r="H379" s="16" t="n">
        <v>46538</v>
      </c>
      <c r="I379" s="16" t="n">
        <v>46549</v>
      </c>
      <c r="J379" s="16" t="n">
        <v>46570</v>
      </c>
      <c r="K379" s="16" t="n">
        <v>46584</v>
      </c>
      <c r="L379" s="16" t="n">
        <v>46598</v>
      </c>
      <c r="M379" s="16" t="n">
        <v>46605</v>
      </c>
      <c r="N379" s="17"/>
      <c r="O379" s="16" t="n">
        <f aca="false">IF(N379&lt;&gt;"",N379,M379)</f>
        <v>46605</v>
      </c>
      <c r="P379" s="18" t="s">
        <v>31</v>
      </c>
      <c r="Q379" s="19" t="s">
        <v>1201</v>
      </c>
      <c r="R379" s="19"/>
      <c r="S379" s="14" t="str">
        <f aca="true">IF(AND(O379&lt;TODAY(),P379&lt;&gt;"Approved",P379&lt;&gt;"Live",P379&lt;&gt;"Not applicable"),"Overdue","")</f>
        <v/>
      </c>
      <c r="T379" s="14" t="str">
        <f aca="true">IF(S379="Overdue",TODAY()-O379,"")</f>
        <v/>
      </c>
    </row>
    <row r="380" customFormat="false" ht="46.25" hidden="false" customHeight="false" outlineLevel="0" collapsed="false">
      <c r="A380" s="14" t="s">
        <v>1202</v>
      </c>
      <c r="B380" s="15" t="s">
        <v>1203</v>
      </c>
      <c r="C380" s="14" t="s">
        <v>55</v>
      </c>
      <c r="D380" s="14" t="s">
        <v>101</v>
      </c>
      <c r="E380" s="14" t="s">
        <v>102</v>
      </c>
      <c r="F380" s="15" t="s">
        <v>46</v>
      </c>
      <c r="G380" s="14" t="s">
        <v>42</v>
      </c>
      <c r="H380" s="16" t="n">
        <v>46538</v>
      </c>
      <c r="I380" s="16" t="n">
        <v>46549</v>
      </c>
      <c r="J380" s="16" t="n">
        <v>46570</v>
      </c>
      <c r="K380" s="16" t="n">
        <v>46584</v>
      </c>
      <c r="L380" s="16" t="n">
        <v>46598</v>
      </c>
      <c r="M380" s="16" t="n">
        <v>46605</v>
      </c>
      <c r="N380" s="17"/>
      <c r="O380" s="16" t="n">
        <f aca="false">IF(N380&lt;&gt;"",N380,M380)</f>
        <v>46605</v>
      </c>
      <c r="P380" s="18" t="s">
        <v>31</v>
      </c>
      <c r="Q380" s="19" t="s">
        <v>1204</v>
      </c>
      <c r="R380" s="19"/>
      <c r="S380" s="14" t="str">
        <f aca="true">IF(AND(O380&lt;TODAY(),P380&lt;&gt;"Approved",P380&lt;&gt;"Live",P380&lt;&gt;"Not applicable"),"Overdue","")</f>
        <v/>
      </c>
      <c r="T380" s="14" t="str">
        <f aca="true">IF(S380="Overdue",TODAY()-O380,"")</f>
        <v/>
      </c>
    </row>
    <row r="381" customFormat="false" ht="35.05" hidden="false" customHeight="false" outlineLevel="0" collapsed="false">
      <c r="A381" s="14" t="s">
        <v>1205</v>
      </c>
      <c r="B381" s="15" t="s">
        <v>1206</v>
      </c>
      <c r="C381" s="14" t="s">
        <v>55</v>
      </c>
      <c r="D381" s="14" t="s">
        <v>101</v>
      </c>
      <c r="E381" s="14" t="s">
        <v>102</v>
      </c>
      <c r="F381" s="15" t="s">
        <v>46</v>
      </c>
      <c r="G381" s="14" t="s">
        <v>42</v>
      </c>
      <c r="H381" s="16" t="n">
        <v>46538</v>
      </c>
      <c r="I381" s="16" t="n">
        <v>46549</v>
      </c>
      <c r="J381" s="16" t="n">
        <v>46570</v>
      </c>
      <c r="K381" s="16" t="n">
        <v>46584</v>
      </c>
      <c r="L381" s="16" t="n">
        <v>46598</v>
      </c>
      <c r="M381" s="16" t="n">
        <v>46605</v>
      </c>
      <c r="N381" s="17"/>
      <c r="O381" s="16" t="n">
        <f aca="false">IF(N381&lt;&gt;"",N381,M381)</f>
        <v>46605</v>
      </c>
      <c r="P381" s="18" t="s">
        <v>31</v>
      </c>
      <c r="Q381" s="19" t="s">
        <v>1207</v>
      </c>
      <c r="R381" s="19"/>
      <c r="S381" s="14" t="str">
        <f aca="true">IF(AND(O381&lt;TODAY(),P381&lt;&gt;"Approved",P381&lt;&gt;"Live",P381&lt;&gt;"Not applicable"),"Overdue","")</f>
        <v/>
      </c>
      <c r="T381" s="14" t="str">
        <f aca="true">IF(S381="Overdue",TODAY()-O381,"")</f>
        <v/>
      </c>
    </row>
    <row r="382" customFormat="false" ht="35.05" hidden="false" customHeight="false" outlineLevel="0" collapsed="false">
      <c r="A382" s="14" t="s">
        <v>1208</v>
      </c>
      <c r="B382" s="15" t="s">
        <v>1209</v>
      </c>
      <c r="C382" s="14" t="s">
        <v>55</v>
      </c>
      <c r="D382" s="14" t="s">
        <v>101</v>
      </c>
      <c r="E382" s="14" t="s">
        <v>102</v>
      </c>
      <c r="F382" s="15" t="s">
        <v>46</v>
      </c>
      <c r="G382" s="14" t="s">
        <v>42</v>
      </c>
      <c r="H382" s="16" t="n">
        <v>46538</v>
      </c>
      <c r="I382" s="16" t="n">
        <v>46549</v>
      </c>
      <c r="J382" s="16" t="n">
        <v>46570</v>
      </c>
      <c r="K382" s="16" t="n">
        <v>46584</v>
      </c>
      <c r="L382" s="16" t="n">
        <v>46598</v>
      </c>
      <c r="M382" s="16" t="n">
        <v>46605</v>
      </c>
      <c r="N382" s="17"/>
      <c r="O382" s="16" t="n">
        <f aca="false">IF(N382&lt;&gt;"",N382,M382)</f>
        <v>46605</v>
      </c>
      <c r="P382" s="18" t="s">
        <v>31</v>
      </c>
      <c r="Q382" s="19" t="s">
        <v>1210</v>
      </c>
      <c r="R382" s="19"/>
      <c r="S382" s="14" t="str">
        <f aca="true">IF(AND(O382&lt;TODAY(),P382&lt;&gt;"Approved",P382&lt;&gt;"Live",P382&lt;&gt;"Not applicable"),"Overdue","")</f>
        <v/>
      </c>
      <c r="T382" s="14" t="str">
        <f aca="true">IF(S382="Overdue",TODAY()-O382,"")</f>
        <v/>
      </c>
    </row>
    <row r="383" customFormat="false" ht="35.05" hidden="false" customHeight="false" outlineLevel="0" collapsed="false">
      <c r="A383" s="14" t="s">
        <v>1211</v>
      </c>
      <c r="B383" s="15" t="s">
        <v>1212</v>
      </c>
      <c r="C383" s="14" t="s">
        <v>55</v>
      </c>
      <c r="D383" s="14" t="s">
        <v>186</v>
      </c>
      <c r="E383" s="14" t="s">
        <v>102</v>
      </c>
      <c r="F383" s="15" t="s">
        <v>51</v>
      </c>
      <c r="G383" s="14" t="s">
        <v>42</v>
      </c>
      <c r="H383" s="16" t="n">
        <v>46538</v>
      </c>
      <c r="I383" s="16" t="n">
        <v>46549</v>
      </c>
      <c r="J383" s="16" t="n">
        <v>46570</v>
      </c>
      <c r="K383" s="16" t="n">
        <v>46584</v>
      </c>
      <c r="L383" s="16" t="n">
        <v>46598</v>
      </c>
      <c r="M383" s="16" t="n">
        <v>46605</v>
      </c>
      <c r="N383" s="17"/>
      <c r="O383" s="16" t="n">
        <f aca="false">IF(N383&lt;&gt;"",N383,M383)</f>
        <v>46605</v>
      </c>
      <c r="P383" s="18" t="s">
        <v>31</v>
      </c>
      <c r="Q383" s="19" t="s">
        <v>1213</v>
      </c>
      <c r="R383" s="19"/>
      <c r="S383" s="14" t="str">
        <f aca="true">IF(AND(O383&lt;TODAY(),P383&lt;&gt;"Approved",P383&lt;&gt;"Live",P383&lt;&gt;"Not applicable"),"Overdue","")</f>
        <v/>
      </c>
      <c r="T383" s="14" t="str">
        <f aca="true">IF(S383="Overdue",TODAY()-O383,"")</f>
        <v/>
      </c>
    </row>
    <row r="384" customFormat="false" ht="46.25" hidden="false" customHeight="false" outlineLevel="0" collapsed="false">
      <c r="A384" s="14" t="s">
        <v>1214</v>
      </c>
      <c r="B384" s="15" t="s">
        <v>1215</v>
      </c>
      <c r="C384" s="14" t="s">
        <v>55</v>
      </c>
      <c r="D384" s="14" t="s">
        <v>186</v>
      </c>
      <c r="E384" s="14" t="s">
        <v>102</v>
      </c>
      <c r="F384" s="15" t="s">
        <v>51</v>
      </c>
      <c r="G384" s="14" t="s">
        <v>42</v>
      </c>
      <c r="H384" s="16" t="n">
        <v>46538</v>
      </c>
      <c r="I384" s="16" t="n">
        <v>46549</v>
      </c>
      <c r="J384" s="16" t="n">
        <v>46570</v>
      </c>
      <c r="K384" s="16" t="n">
        <v>46584</v>
      </c>
      <c r="L384" s="16" t="n">
        <v>46598</v>
      </c>
      <c r="M384" s="16" t="n">
        <v>46605</v>
      </c>
      <c r="N384" s="17"/>
      <c r="O384" s="16" t="n">
        <f aca="false">IF(N384&lt;&gt;"",N384,M384)</f>
        <v>46605</v>
      </c>
      <c r="P384" s="18" t="s">
        <v>31</v>
      </c>
      <c r="Q384" s="19" t="s">
        <v>1216</v>
      </c>
      <c r="R384" s="19"/>
      <c r="S384" s="14" t="str">
        <f aca="true">IF(AND(O384&lt;TODAY(),P384&lt;&gt;"Approved",P384&lt;&gt;"Live",P384&lt;&gt;"Not applicable"),"Overdue","")</f>
        <v/>
      </c>
      <c r="T384" s="14" t="str">
        <f aca="true">IF(S384="Overdue",TODAY()-O384,"")</f>
        <v/>
      </c>
    </row>
    <row r="385" customFormat="false" ht="35.05" hidden="false" customHeight="false" outlineLevel="0" collapsed="false">
      <c r="A385" s="14" t="s">
        <v>1217</v>
      </c>
      <c r="B385" s="15" t="s">
        <v>1218</v>
      </c>
      <c r="C385" s="14" t="s">
        <v>55</v>
      </c>
      <c r="D385" s="14" t="s">
        <v>186</v>
      </c>
      <c r="E385" s="14" t="s">
        <v>102</v>
      </c>
      <c r="F385" s="15" t="s">
        <v>51</v>
      </c>
      <c r="G385" s="14" t="s">
        <v>42</v>
      </c>
      <c r="H385" s="16" t="n">
        <v>46538</v>
      </c>
      <c r="I385" s="16" t="n">
        <v>46549</v>
      </c>
      <c r="J385" s="16" t="n">
        <v>46570</v>
      </c>
      <c r="K385" s="16" t="n">
        <v>46584</v>
      </c>
      <c r="L385" s="16" t="n">
        <v>46598</v>
      </c>
      <c r="M385" s="16" t="n">
        <v>46605</v>
      </c>
      <c r="N385" s="17"/>
      <c r="O385" s="16" t="n">
        <f aca="false">IF(N385&lt;&gt;"",N385,M385)</f>
        <v>46605</v>
      </c>
      <c r="P385" s="18" t="s">
        <v>31</v>
      </c>
      <c r="Q385" s="19" t="s">
        <v>1219</v>
      </c>
      <c r="R385" s="19"/>
      <c r="S385" s="14" t="str">
        <f aca="true">IF(AND(O385&lt;TODAY(),P385&lt;&gt;"Approved",P385&lt;&gt;"Live",P385&lt;&gt;"Not applicable"),"Overdue","")</f>
        <v/>
      </c>
      <c r="T385" s="14" t="str">
        <f aca="true">IF(S385="Overdue",TODAY()-O385,"")</f>
        <v/>
      </c>
    </row>
    <row r="386" customFormat="false" ht="46.25" hidden="false" customHeight="false" outlineLevel="0" collapsed="false">
      <c r="A386" s="14" t="s">
        <v>1220</v>
      </c>
      <c r="B386" s="15" t="s">
        <v>1221</v>
      </c>
      <c r="C386" s="14" t="s">
        <v>55</v>
      </c>
      <c r="D386" s="14" t="s">
        <v>148</v>
      </c>
      <c r="E386" s="14" t="s">
        <v>102</v>
      </c>
      <c r="F386" s="15" t="s">
        <v>50</v>
      </c>
      <c r="G386" s="14" t="s">
        <v>42</v>
      </c>
      <c r="H386" s="16" t="n">
        <v>46538</v>
      </c>
      <c r="I386" s="16" t="n">
        <v>46549</v>
      </c>
      <c r="J386" s="16" t="n">
        <v>46570</v>
      </c>
      <c r="K386" s="16" t="n">
        <v>46584</v>
      </c>
      <c r="L386" s="16" t="n">
        <v>46598</v>
      </c>
      <c r="M386" s="16" t="n">
        <v>46605</v>
      </c>
      <c r="N386" s="17"/>
      <c r="O386" s="16" t="n">
        <f aca="false">IF(N386&lt;&gt;"",N386,M386)</f>
        <v>46605</v>
      </c>
      <c r="P386" s="18" t="s">
        <v>31</v>
      </c>
      <c r="Q386" s="19" t="s">
        <v>1222</v>
      </c>
      <c r="R386" s="19"/>
      <c r="S386" s="14" t="str">
        <f aca="true">IF(AND(O386&lt;TODAY(),P386&lt;&gt;"Approved",P386&lt;&gt;"Live",P386&lt;&gt;"Not applicable"),"Overdue","")</f>
        <v/>
      </c>
      <c r="T386" s="14" t="str">
        <f aca="true">IF(S386="Overdue",TODAY()-O386,"")</f>
        <v/>
      </c>
    </row>
    <row r="387" customFormat="false" ht="35.05" hidden="false" customHeight="false" outlineLevel="0" collapsed="false">
      <c r="A387" s="14" t="s">
        <v>1223</v>
      </c>
      <c r="B387" s="15" t="s">
        <v>1224</v>
      </c>
      <c r="C387" s="14" t="s">
        <v>55</v>
      </c>
      <c r="D387" s="14" t="s">
        <v>148</v>
      </c>
      <c r="E387" s="14" t="s">
        <v>102</v>
      </c>
      <c r="F387" s="15" t="s">
        <v>50</v>
      </c>
      <c r="G387" s="14" t="s">
        <v>42</v>
      </c>
      <c r="H387" s="16" t="n">
        <v>46538</v>
      </c>
      <c r="I387" s="16" t="n">
        <v>46549</v>
      </c>
      <c r="J387" s="16" t="n">
        <v>46570</v>
      </c>
      <c r="K387" s="16" t="n">
        <v>46584</v>
      </c>
      <c r="L387" s="16" t="n">
        <v>46598</v>
      </c>
      <c r="M387" s="16" t="n">
        <v>46605</v>
      </c>
      <c r="N387" s="17"/>
      <c r="O387" s="16" t="n">
        <f aca="false">IF(N387&lt;&gt;"",N387,M387)</f>
        <v>46605</v>
      </c>
      <c r="P387" s="18" t="s">
        <v>31</v>
      </c>
      <c r="Q387" s="19" t="s">
        <v>1225</v>
      </c>
      <c r="R387" s="19"/>
      <c r="S387" s="14" t="str">
        <f aca="true">IF(AND(O387&lt;TODAY(),P387&lt;&gt;"Approved",P387&lt;&gt;"Live",P387&lt;&gt;"Not applicable"),"Overdue","")</f>
        <v/>
      </c>
      <c r="T387" s="14" t="str">
        <f aca="true">IF(S387="Overdue",TODAY()-O387,"")</f>
        <v/>
      </c>
    </row>
    <row r="388" customFormat="false" ht="46.25" hidden="false" customHeight="false" outlineLevel="0" collapsed="false">
      <c r="A388" s="14" t="s">
        <v>1226</v>
      </c>
      <c r="B388" s="15" t="s">
        <v>1227</v>
      </c>
      <c r="C388" s="14" t="s">
        <v>55</v>
      </c>
      <c r="D388" s="14" t="s">
        <v>190</v>
      </c>
      <c r="E388" s="14" t="s">
        <v>102</v>
      </c>
      <c r="F388" s="15" t="s">
        <v>48</v>
      </c>
      <c r="G388" s="14" t="s">
        <v>42</v>
      </c>
      <c r="H388" s="16" t="n">
        <v>46538</v>
      </c>
      <c r="I388" s="16" t="n">
        <v>46549</v>
      </c>
      <c r="J388" s="16" t="n">
        <v>46570</v>
      </c>
      <c r="K388" s="16" t="n">
        <v>46584</v>
      </c>
      <c r="L388" s="16" t="n">
        <v>46598</v>
      </c>
      <c r="M388" s="16" t="n">
        <v>46605</v>
      </c>
      <c r="N388" s="17"/>
      <c r="O388" s="16" t="n">
        <f aca="false">IF(N388&lt;&gt;"",N388,M388)</f>
        <v>46605</v>
      </c>
      <c r="P388" s="18" t="s">
        <v>31</v>
      </c>
      <c r="Q388" s="19" t="s">
        <v>1228</v>
      </c>
      <c r="R388" s="19"/>
      <c r="S388" s="14" t="str">
        <f aca="true">IF(AND(O388&lt;TODAY(),P388&lt;&gt;"Approved",P388&lt;&gt;"Live",P388&lt;&gt;"Not applicable"),"Overdue","")</f>
        <v/>
      </c>
      <c r="T388" s="14" t="str">
        <f aca="true">IF(S388="Overdue",TODAY()-O388,"")</f>
        <v/>
      </c>
    </row>
    <row r="389" customFormat="false" ht="35.05" hidden="false" customHeight="false" outlineLevel="0" collapsed="false">
      <c r="A389" s="14" t="s">
        <v>1229</v>
      </c>
      <c r="B389" s="15" t="s">
        <v>1230</v>
      </c>
      <c r="C389" s="14" t="s">
        <v>55</v>
      </c>
      <c r="D389" s="14" t="s">
        <v>222</v>
      </c>
      <c r="E389" s="14" t="s">
        <v>102</v>
      </c>
      <c r="F389" s="15" t="s">
        <v>48</v>
      </c>
      <c r="G389" s="14" t="s">
        <v>42</v>
      </c>
      <c r="H389" s="16" t="n">
        <v>46538</v>
      </c>
      <c r="I389" s="16" t="n">
        <v>46549</v>
      </c>
      <c r="J389" s="16" t="n">
        <v>46570</v>
      </c>
      <c r="K389" s="16" t="n">
        <v>46584</v>
      </c>
      <c r="L389" s="16" t="n">
        <v>46598</v>
      </c>
      <c r="M389" s="16" t="n">
        <v>46605</v>
      </c>
      <c r="N389" s="17"/>
      <c r="O389" s="16" t="n">
        <f aca="false">IF(N389&lt;&gt;"",N389,M389)</f>
        <v>46605</v>
      </c>
      <c r="P389" s="18" t="s">
        <v>31</v>
      </c>
      <c r="Q389" s="19" t="s">
        <v>1231</v>
      </c>
      <c r="R389" s="19"/>
      <c r="S389" s="14" t="str">
        <f aca="true">IF(AND(O389&lt;TODAY(),P389&lt;&gt;"Approved",P389&lt;&gt;"Live",P389&lt;&gt;"Not applicable"),"Overdue","")</f>
        <v/>
      </c>
      <c r="T389" s="14" t="str">
        <f aca="true">IF(S389="Overdue",TODAY()-O389,"")</f>
        <v/>
      </c>
    </row>
    <row r="390" customFormat="false" ht="35.05" hidden="false" customHeight="false" outlineLevel="0" collapsed="false">
      <c r="A390" s="14" t="s">
        <v>1232</v>
      </c>
      <c r="B390" s="15" t="s">
        <v>1233</v>
      </c>
      <c r="C390" s="14" t="s">
        <v>55</v>
      </c>
      <c r="D390" s="14" t="s">
        <v>222</v>
      </c>
      <c r="E390" s="14" t="s">
        <v>102</v>
      </c>
      <c r="F390" s="15" t="s">
        <v>48</v>
      </c>
      <c r="G390" s="14" t="s">
        <v>42</v>
      </c>
      <c r="H390" s="16" t="n">
        <v>46538</v>
      </c>
      <c r="I390" s="16" t="n">
        <v>46549</v>
      </c>
      <c r="J390" s="16" t="n">
        <v>46570</v>
      </c>
      <c r="K390" s="16" t="n">
        <v>46584</v>
      </c>
      <c r="L390" s="16" t="n">
        <v>46598</v>
      </c>
      <c r="M390" s="16" t="n">
        <v>46605</v>
      </c>
      <c r="N390" s="17"/>
      <c r="O390" s="16" t="n">
        <f aca="false">IF(N390&lt;&gt;"",N390,M390)</f>
        <v>46605</v>
      </c>
      <c r="P390" s="18" t="s">
        <v>31</v>
      </c>
      <c r="Q390" s="19" t="s">
        <v>1234</v>
      </c>
      <c r="R390" s="19"/>
      <c r="S390" s="14" t="str">
        <f aca="true">IF(AND(O390&lt;TODAY(),P390&lt;&gt;"Approved",P390&lt;&gt;"Live",P390&lt;&gt;"Not applicable"),"Overdue","")</f>
        <v/>
      </c>
      <c r="T390" s="14" t="str">
        <f aca="true">IF(S390="Overdue",TODAY()-O390,"")</f>
        <v/>
      </c>
    </row>
    <row r="391" customFormat="false" ht="35.05" hidden="false" customHeight="false" outlineLevel="0" collapsed="false">
      <c r="A391" s="14" t="s">
        <v>1235</v>
      </c>
      <c r="B391" s="15" t="s">
        <v>1236</v>
      </c>
      <c r="C391" s="14" t="s">
        <v>55</v>
      </c>
      <c r="D391" s="14" t="s">
        <v>222</v>
      </c>
      <c r="E391" s="14" t="s">
        <v>102</v>
      </c>
      <c r="F391" s="15" t="s">
        <v>48</v>
      </c>
      <c r="G391" s="14" t="s">
        <v>42</v>
      </c>
      <c r="H391" s="16" t="n">
        <v>46538</v>
      </c>
      <c r="I391" s="16" t="n">
        <v>46549</v>
      </c>
      <c r="J391" s="16" t="n">
        <v>46570</v>
      </c>
      <c r="K391" s="16" t="n">
        <v>46584</v>
      </c>
      <c r="L391" s="16" t="n">
        <v>46598</v>
      </c>
      <c r="M391" s="16" t="n">
        <v>46605</v>
      </c>
      <c r="N391" s="17"/>
      <c r="O391" s="16" t="n">
        <f aca="false">IF(N391&lt;&gt;"",N391,M391)</f>
        <v>46605</v>
      </c>
      <c r="P391" s="18" t="s">
        <v>31</v>
      </c>
      <c r="Q391" s="19" t="s">
        <v>1237</v>
      </c>
      <c r="R391" s="19"/>
      <c r="S391" s="14" t="str">
        <f aca="true">IF(AND(O391&lt;TODAY(),P391&lt;&gt;"Approved",P391&lt;&gt;"Live",P391&lt;&gt;"Not applicable"),"Overdue","")</f>
        <v/>
      </c>
      <c r="T391" s="14" t="str">
        <f aca="true">IF(S391="Overdue",TODAY()-O391,"")</f>
        <v/>
      </c>
    </row>
    <row r="392" customFormat="false" ht="23.85" hidden="false" customHeight="false" outlineLevel="0" collapsed="false">
      <c r="A392" s="14" t="s">
        <v>1238</v>
      </c>
      <c r="B392" s="15" t="s">
        <v>1239</v>
      </c>
      <c r="C392" s="14" t="s">
        <v>55</v>
      </c>
      <c r="D392" s="14" t="s">
        <v>275</v>
      </c>
      <c r="E392" s="14" t="s">
        <v>102</v>
      </c>
      <c r="F392" s="15" t="s">
        <v>50</v>
      </c>
      <c r="G392" s="14" t="s">
        <v>42</v>
      </c>
      <c r="H392" s="16" t="n">
        <v>46538</v>
      </c>
      <c r="I392" s="16" t="n">
        <v>46549</v>
      </c>
      <c r="J392" s="16" t="n">
        <v>46570</v>
      </c>
      <c r="K392" s="16" t="n">
        <v>46584</v>
      </c>
      <c r="L392" s="16" t="n">
        <v>46598</v>
      </c>
      <c r="M392" s="16" t="n">
        <v>46605</v>
      </c>
      <c r="N392" s="17"/>
      <c r="O392" s="16" t="n">
        <f aca="false">IF(N392&lt;&gt;"",N392,M392)</f>
        <v>46605</v>
      </c>
      <c r="P392" s="18" t="s">
        <v>31</v>
      </c>
      <c r="Q392" s="19" t="s">
        <v>1240</v>
      </c>
      <c r="R392" s="19"/>
      <c r="S392" s="14" t="str">
        <f aca="true">IF(AND(O392&lt;TODAY(),P392&lt;&gt;"Approved",P392&lt;&gt;"Live",P392&lt;&gt;"Not applicable"),"Overdue","")</f>
        <v/>
      </c>
      <c r="T392" s="14" t="str">
        <f aca="true">IF(S392="Overdue",TODAY()-O392,"")</f>
        <v/>
      </c>
    </row>
    <row r="393" customFormat="false" ht="23.85" hidden="false" customHeight="false" outlineLevel="0" collapsed="false">
      <c r="A393" s="14" t="s">
        <v>1241</v>
      </c>
      <c r="B393" s="15" t="s">
        <v>1242</v>
      </c>
      <c r="C393" s="14" t="s">
        <v>55</v>
      </c>
      <c r="D393" s="14" t="s">
        <v>275</v>
      </c>
      <c r="E393" s="14" t="s">
        <v>102</v>
      </c>
      <c r="F393" s="15" t="s">
        <v>50</v>
      </c>
      <c r="G393" s="14" t="s">
        <v>42</v>
      </c>
      <c r="H393" s="16" t="n">
        <v>46538</v>
      </c>
      <c r="I393" s="16" t="n">
        <v>46549</v>
      </c>
      <c r="J393" s="16" t="n">
        <v>46570</v>
      </c>
      <c r="K393" s="16" t="n">
        <v>46584</v>
      </c>
      <c r="L393" s="16" t="n">
        <v>46598</v>
      </c>
      <c r="M393" s="16" t="n">
        <v>46605</v>
      </c>
      <c r="N393" s="17"/>
      <c r="O393" s="16" t="n">
        <f aca="false">IF(N393&lt;&gt;"",N393,M393)</f>
        <v>46605</v>
      </c>
      <c r="P393" s="18" t="s">
        <v>31</v>
      </c>
      <c r="Q393" s="19" t="s">
        <v>1243</v>
      </c>
      <c r="R393" s="19"/>
      <c r="S393" s="14" t="str">
        <f aca="true">IF(AND(O393&lt;TODAY(),P393&lt;&gt;"Approved",P393&lt;&gt;"Live",P393&lt;&gt;"Not applicable"),"Overdue","")</f>
        <v/>
      </c>
      <c r="T393" s="14" t="str">
        <f aca="true">IF(S393="Overdue",TODAY()-O393,"")</f>
        <v/>
      </c>
    </row>
    <row r="394" customFormat="false" ht="35.05" hidden="false" customHeight="false" outlineLevel="0" collapsed="false">
      <c r="A394" s="14" t="s">
        <v>1244</v>
      </c>
      <c r="B394" s="15" t="s">
        <v>1245</v>
      </c>
      <c r="C394" s="14" t="s">
        <v>55</v>
      </c>
      <c r="D394" s="14" t="s">
        <v>282</v>
      </c>
      <c r="E394" s="14" t="s">
        <v>102</v>
      </c>
      <c r="F394" s="15" t="s">
        <v>49</v>
      </c>
      <c r="G394" s="14" t="s">
        <v>42</v>
      </c>
      <c r="H394" s="16" t="n">
        <v>46538</v>
      </c>
      <c r="I394" s="16" t="n">
        <v>46549</v>
      </c>
      <c r="J394" s="16" t="n">
        <v>46570</v>
      </c>
      <c r="K394" s="16" t="n">
        <v>46584</v>
      </c>
      <c r="L394" s="16" t="n">
        <v>46598</v>
      </c>
      <c r="M394" s="16" t="n">
        <v>46605</v>
      </c>
      <c r="N394" s="17"/>
      <c r="O394" s="16" t="n">
        <f aca="false">IF(N394&lt;&gt;"",N394,M394)</f>
        <v>46605</v>
      </c>
      <c r="P394" s="18" t="s">
        <v>31</v>
      </c>
      <c r="Q394" s="19" t="s">
        <v>1246</v>
      </c>
      <c r="R394" s="19"/>
      <c r="S394" s="14" t="str">
        <f aca="true">IF(AND(O394&lt;TODAY(),P394&lt;&gt;"Approved",P394&lt;&gt;"Live",P394&lt;&gt;"Not applicable"),"Overdue","")</f>
        <v/>
      </c>
      <c r="T394" s="14" t="str">
        <f aca="true">IF(S394="Overdue",TODAY()-O394,"")</f>
        <v/>
      </c>
    </row>
    <row r="395" customFormat="false" ht="46.25" hidden="false" customHeight="false" outlineLevel="0" collapsed="false">
      <c r="A395" s="14" t="s">
        <v>1247</v>
      </c>
      <c r="B395" s="15" t="s">
        <v>1248</v>
      </c>
      <c r="C395" s="14" t="s">
        <v>55</v>
      </c>
      <c r="D395" s="14" t="s">
        <v>282</v>
      </c>
      <c r="E395" s="14" t="s">
        <v>102</v>
      </c>
      <c r="F395" s="15" t="s">
        <v>49</v>
      </c>
      <c r="G395" s="14" t="s">
        <v>42</v>
      </c>
      <c r="H395" s="16" t="n">
        <v>46538</v>
      </c>
      <c r="I395" s="16" t="n">
        <v>46549</v>
      </c>
      <c r="J395" s="16" t="n">
        <v>46570</v>
      </c>
      <c r="K395" s="16" t="n">
        <v>46584</v>
      </c>
      <c r="L395" s="16" t="n">
        <v>46598</v>
      </c>
      <c r="M395" s="16" t="n">
        <v>46605</v>
      </c>
      <c r="N395" s="17"/>
      <c r="O395" s="16" t="n">
        <f aca="false">IF(N395&lt;&gt;"",N395,M395)</f>
        <v>46605</v>
      </c>
      <c r="P395" s="18" t="s">
        <v>31</v>
      </c>
      <c r="Q395" s="19" t="s">
        <v>1249</v>
      </c>
      <c r="R395" s="19"/>
      <c r="S395" s="14" t="str">
        <f aca="true">IF(AND(O395&lt;TODAY(),P395&lt;&gt;"Approved",P395&lt;&gt;"Live",P395&lt;&gt;"Not applicable"),"Overdue","")</f>
        <v/>
      </c>
      <c r="T395" s="14" t="str">
        <f aca="true">IF(S395="Overdue",TODAY()-O395,"")</f>
        <v/>
      </c>
    </row>
    <row r="396" customFormat="false" ht="35.05" hidden="false" customHeight="false" outlineLevel="0" collapsed="false">
      <c r="A396" s="14" t="s">
        <v>1250</v>
      </c>
      <c r="B396" s="15" t="s">
        <v>1251</v>
      </c>
      <c r="C396" s="14" t="s">
        <v>55</v>
      </c>
      <c r="D396" s="14" t="s">
        <v>282</v>
      </c>
      <c r="E396" s="14" t="s">
        <v>102</v>
      </c>
      <c r="F396" s="15" t="s">
        <v>49</v>
      </c>
      <c r="G396" s="14" t="s">
        <v>42</v>
      </c>
      <c r="H396" s="16" t="n">
        <v>46538</v>
      </c>
      <c r="I396" s="16" t="n">
        <v>46549</v>
      </c>
      <c r="J396" s="16" t="n">
        <v>46570</v>
      </c>
      <c r="K396" s="16" t="n">
        <v>46584</v>
      </c>
      <c r="L396" s="16" t="n">
        <v>46598</v>
      </c>
      <c r="M396" s="16" t="n">
        <v>46605</v>
      </c>
      <c r="N396" s="17"/>
      <c r="O396" s="16" t="n">
        <f aca="false">IF(N396&lt;&gt;"",N396,M396)</f>
        <v>46605</v>
      </c>
      <c r="P396" s="18" t="s">
        <v>31</v>
      </c>
      <c r="Q396" s="19" t="s">
        <v>1252</v>
      </c>
      <c r="R396" s="19"/>
      <c r="S396" s="14" t="str">
        <f aca="true">IF(AND(O396&lt;TODAY(),P396&lt;&gt;"Approved",P396&lt;&gt;"Live",P396&lt;&gt;"Not applicable"),"Overdue","")</f>
        <v/>
      </c>
      <c r="T396" s="14" t="str">
        <f aca="true">IF(S396="Overdue",TODAY()-O396,"")</f>
        <v/>
      </c>
    </row>
    <row r="397" customFormat="false" ht="46.25" hidden="false" customHeight="false" outlineLevel="0" collapsed="false">
      <c r="A397" s="14" t="s">
        <v>1253</v>
      </c>
      <c r="B397" s="15" t="s">
        <v>1254</v>
      </c>
      <c r="C397" s="14" t="s">
        <v>55</v>
      </c>
      <c r="D397" s="14" t="s">
        <v>282</v>
      </c>
      <c r="E397" s="14" t="s">
        <v>102</v>
      </c>
      <c r="F397" s="15" t="s">
        <v>49</v>
      </c>
      <c r="G397" s="14" t="s">
        <v>42</v>
      </c>
      <c r="H397" s="16" t="n">
        <v>46538</v>
      </c>
      <c r="I397" s="16" t="n">
        <v>46549</v>
      </c>
      <c r="J397" s="16" t="n">
        <v>46570</v>
      </c>
      <c r="K397" s="16" t="n">
        <v>46584</v>
      </c>
      <c r="L397" s="16" t="n">
        <v>46598</v>
      </c>
      <c r="M397" s="16" t="n">
        <v>46605</v>
      </c>
      <c r="N397" s="17"/>
      <c r="O397" s="16" t="n">
        <f aca="false">IF(N397&lt;&gt;"",N397,M397)</f>
        <v>46605</v>
      </c>
      <c r="P397" s="18" t="s">
        <v>31</v>
      </c>
      <c r="Q397" s="19" t="s">
        <v>1255</v>
      </c>
      <c r="R397" s="19"/>
      <c r="S397" s="14" t="str">
        <f aca="true">IF(AND(O397&lt;TODAY(),P397&lt;&gt;"Approved",P397&lt;&gt;"Live",P397&lt;&gt;"Not applicable"),"Overdue","")</f>
        <v/>
      </c>
      <c r="T397" s="14" t="str">
        <f aca="true">IF(S397="Overdue",TODAY()-O397,"")</f>
        <v/>
      </c>
    </row>
    <row r="398" customFormat="false" ht="15" hidden="false" customHeight="false" outlineLevel="0" collapsed="false">
      <c r="A398" s="14" t="s">
        <v>1256</v>
      </c>
      <c r="B398" s="15" t="s">
        <v>1257</v>
      </c>
      <c r="C398" s="14" t="s">
        <v>60</v>
      </c>
      <c r="D398" s="14" t="s">
        <v>222</v>
      </c>
      <c r="E398" s="14" t="s">
        <v>102</v>
      </c>
      <c r="F398" s="15" t="s">
        <v>48</v>
      </c>
      <c r="G398" s="14" t="s">
        <v>42</v>
      </c>
      <c r="H398" s="16" t="n">
        <v>46538</v>
      </c>
      <c r="I398" s="16" t="n">
        <v>46549</v>
      </c>
      <c r="J398" s="16" t="n">
        <v>46570</v>
      </c>
      <c r="K398" s="16" t="n">
        <v>46584</v>
      </c>
      <c r="L398" s="16" t="n">
        <v>46598</v>
      </c>
      <c r="M398" s="16" t="n">
        <v>46605</v>
      </c>
      <c r="N398" s="17"/>
      <c r="O398" s="16" t="n">
        <f aca="false">IF(N398&lt;&gt;"",N398,M398)</f>
        <v>46605</v>
      </c>
      <c r="P398" s="18" t="s">
        <v>31</v>
      </c>
      <c r="Q398" s="19" t="s">
        <v>1258</v>
      </c>
      <c r="R398" s="19"/>
      <c r="S398" s="14" t="str">
        <f aca="true">IF(AND(O398&lt;TODAY(),P398&lt;&gt;"Approved",P398&lt;&gt;"Live",P398&lt;&gt;"Not applicable"),"Overdue","")</f>
        <v/>
      </c>
      <c r="T398" s="14" t="str">
        <f aca="true">IF(S398="Overdue",TODAY()-O398,"")</f>
        <v/>
      </c>
    </row>
    <row r="399" customFormat="false" ht="23.85" hidden="false" customHeight="false" outlineLevel="0" collapsed="false">
      <c r="A399" s="14" t="s">
        <v>1259</v>
      </c>
      <c r="B399" s="15" t="s">
        <v>1260</v>
      </c>
      <c r="C399" s="14" t="s">
        <v>60</v>
      </c>
      <c r="D399" s="14" t="s">
        <v>170</v>
      </c>
      <c r="E399" s="14" t="s">
        <v>102</v>
      </c>
      <c r="F399" s="15" t="s">
        <v>51</v>
      </c>
      <c r="G399" s="14" t="s">
        <v>42</v>
      </c>
      <c r="H399" s="16" t="n">
        <v>46538</v>
      </c>
      <c r="I399" s="16" t="n">
        <v>46549</v>
      </c>
      <c r="J399" s="16" t="n">
        <v>46570</v>
      </c>
      <c r="K399" s="16" t="n">
        <v>46584</v>
      </c>
      <c r="L399" s="16" t="n">
        <v>46598</v>
      </c>
      <c r="M399" s="16" t="n">
        <v>46605</v>
      </c>
      <c r="N399" s="17"/>
      <c r="O399" s="16" t="n">
        <f aca="false">IF(N399&lt;&gt;"",N399,M399)</f>
        <v>46605</v>
      </c>
      <c r="P399" s="18" t="s">
        <v>31</v>
      </c>
      <c r="Q399" s="19" t="s">
        <v>1261</v>
      </c>
      <c r="R399" s="19"/>
      <c r="S399" s="14" t="str">
        <f aca="true">IF(AND(O399&lt;TODAY(),P399&lt;&gt;"Approved",P399&lt;&gt;"Live",P399&lt;&gt;"Not applicable"),"Overdue","")</f>
        <v/>
      </c>
      <c r="T399" s="14" t="str">
        <f aca="true">IF(S399="Overdue",TODAY()-O399,"")</f>
        <v/>
      </c>
    </row>
    <row r="400" customFormat="false" ht="23.85" hidden="false" customHeight="false" outlineLevel="0" collapsed="false">
      <c r="A400" s="14" t="s">
        <v>1262</v>
      </c>
      <c r="B400" s="15" t="s">
        <v>1263</v>
      </c>
      <c r="C400" s="14" t="s">
        <v>60</v>
      </c>
      <c r="D400" s="14" t="s">
        <v>190</v>
      </c>
      <c r="E400" s="14" t="s">
        <v>102</v>
      </c>
      <c r="F400" s="15" t="s">
        <v>48</v>
      </c>
      <c r="G400" s="14" t="s">
        <v>42</v>
      </c>
      <c r="H400" s="16" t="n">
        <v>46538</v>
      </c>
      <c r="I400" s="16" t="n">
        <v>46549</v>
      </c>
      <c r="J400" s="16" t="n">
        <v>46570</v>
      </c>
      <c r="K400" s="16" t="n">
        <v>46584</v>
      </c>
      <c r="L400" s="16" t="n">
        <v>46598</v>
      </c>
      <c r="M400" s="16" t="n">
        <v>46605</v>
      </c>
      <c r="N400" s="17"/>
      <c r="O400" s="16" t="n">
        <f aca="false">IF(N400&lt;&gt;"",N400,M400)</f>
        <v>46605</v>
      </c>
      <c r="P400" s="18" t="s">
        <v>31</v>
      </c>
      <c r="Q400" s="19" t="s">
        <v>540</v>
      </c>
      <c r="R400" s="19"/>
      <c r="S400" s="14" t="str">
        <f aca="true">IF(AND(O400&lt;TODAY(),P400&lt;&gt;"Approved",P400&lt;&gt;"Live",P400&lt;&gt;"Not applicable"),"Overdue","")</f>
        <v/>
      </c>
      <c r="T400" s="14" t="str">
        <f aca="true">IF(S400="Overdue",TODAY()-O400,"")</f>
        <v/>
      </c>
    </row>
    <row r="401" customFormat="false" ht="35.05" hidden="false" customHeight="false" outlineLevel="0" collapsed="false">
      <c r="A401" s="14" t="s">
        <v>1264</v>
      </c>
      <c r="B401" s="15" t="s">
        <v>1265</v>
      </c>
      <c r="C401" s="14" t="s">
        <v>55</v>
      </c>
      <c r="D401" s="14" t="s">
        <v>109</v>
      </c>
      <c r="E401" s="14" t="s">
        <v>102</v>
      </c>
      <c r="F401" s="15" t="s">
        <v>47</v>
      </c>
      <c r="G401" s="14" t="s">
        <v>42</v>
      </c>
      <c r="H401" s="16" t="n">
        <v>46538</v>
      </c>
      <c r="I401" s="16" t="n">
        <v>46549</v>
      </c>
      <c r="J401" s="16" t="n">
        <v>46570</v>
      </c>
      <c r="K401" s="16" t="n">
        <v>46584</v>
      </c>
      <c r="L401" s="16" t="n">
        <v>46598</v>
      </c>
      <c r="M401" s="16" t="n">
        <v>46605</v>
      </c>
      <c r="N401" s="17"/>
      <c r="O401" s="16" t="n">
        <f aca="false">IF(N401&lt;&gt;"",N401,M401)</f>
        <v>46605</v>
      </c>
      <c r="P401" s="18" t="s">
        <v>31</v>
      </c>
      <c r="Q401" s="19" t="s">
        <v>1266</v>
      </c>
      <c r="R401" s="19"/>
      <c r="S401" s="14" t="str">
        <f aca="true">IF(AND(O401&lt;TODAY(),P401&lt;&gt;"Approved",P401&lt;&gt;"Live",P401&lt;&gt;"Not applicable"),"Overdue","")</f>
        <v/>
      </c>
      <c r="T401" s="14" t="str">
        <f aca="true">IF(S401="Overdue",TODAY()-O401,"")</f>
        <v/>
      </c>
    </row>
    <row r="402" customFormat="false" ht="46.25" hidden="false" customHeight="false" outlineLevel="0" collapsed="false">
      <c r="A402" s="14" t="s">
        <v>1267</v>
      </c>
      <c r="B402" s="15" t="s">
        <v>1268</v>
      </c>
      <c r="C402" s="14" t="s">
        <v>55</v>
      </c>
      <c r="D402" s="14" t="s">
        <v>109</v>
      </c>
      <c r="E402" s="14" t="s">
        <v>102</v>
      </c>
      <c r="F402" s="15" t="s">
        <v>47</v>
      </c>
      <c r="G402" s="14" t="s">
        <v>42</v>
      </c>
      <c r="H402" s="16" t="n">
        <v>46538</v>
      </c>
      <c r="I402" s="16" t="n">
        <v>46549</v>
      </c>
      <c r="J402" s="16" t="n">
        <v>46570</v>
      </c>
      <c r="K402" s="16" t="n">
        <v>46584</v>
      </c>
      <c r="L402" s="16" t="n">
        <v>46598</v>
      </c>
      <c r="M402" s="16" t="n">
        <v>46605</v>
      </c>
      <c r="N402" s="17"/>
      <c r="O402" s="16" t="n">
        <f aca="false">IF(N402&lt;&gt;"",N402,M402)</f>
        <v>46605</v>
      </c>
      <c r="P402" s="18" t="s">
        <v>31</v>
      </c>
      <c r="Q402" s="19" t="s">
        <v>1269</v>
      </c>
      <c r="R402" s="19"/>
      <c r="S402" s="14" t="str">
        <f aca="true">IF(AND(O402&lt;TODAY(),P402&lt;&gt;"Approved",P402&lt;&gt;"Live",P402&lt;&gt;"Not applicable"),"Overdue","")</f>
        <v/>
      </c>
      <c r="T402" s="14" t="str">
        <f aca="true">IF(S402="Overdue",TODAY()-O402,"")</f>
        <v/>
      </c>
    </row>
    <row r="403" customFormat="false" ht="35.05" hidden="false" customHeight="false" outlineLevel="0" collapsed="false">
      <c r="A403" s="14" t="s">
        <v>1270</v>
      </c>
      <c r="B403" s="15" t="s">
        <v>1271</v>
      </c>
      <c r="C403" s="14" t="s">
        <v>55</v>
      </c>
      <c r="D403" s="14" t="s">
        <v>109</v>
      </c>
      <c r="E403" s="14" t="s">
        <v>82</v>
      </c>
      <c r="F403" s="15" t="s">
        <v>47</v>
      </c>
      <c r="G403" s="14" t="s">
        <v>42</v>
      </c>
      <c r="H403" s="16" t="n">
        <v>46538</v>
      </c>
      <c r="I403" s="16" t="n">
        <v>46549</v>
      </c>
      <c r="J403" s="16" t="n">
        <v>46570</v>
      </c>
      <c r="K403" s="16" t="n">
        <v>46584</v>
      </c>
      <c r="L403" s="16" t="n">
        <v>46598</v>
      </c>
      <c r="M403" s="16" t="n">
        <v>46605</v>
      </c>
      <c r="N403" s="17"/>
      <c r="O403" s="16" t="n">
        <f aca="false">IF(N403&lt;&gt;"",N403,M403)</f>
        <v>46605</v>
      </c>
      <c r="P403" s="18" t="s">
        <v>31</v>
      </c>
      <c r="Q403" s="19" t="s">
        <v>1272</v>
      </c>
      <c r="R403" s="19"/>
      <c r="S403" s="14" t="str">
        <f aca="true">IF(AND(O403&lt;TODAY(),P403&lt;&gt;"Approved",P403&lt;&gt;"Live",P403&lt;&gt;"Not applicable"),"Overdue","")</f>
        <v/>
      </c>
      <c r="T403" s="14" t="str">
        <f aca="true">IF(S403="Overdue",TODAY()-O403,"")</f>
        <v/>
      </c>
    </row>
    <row r="404" customFormat="false" ht="35.05" hidden="false" customHeight="false" outlineLevel="0" collapsed="false">
      <c r="A404" s="14" t="s">
        <v>1273</v>
      </c>
      <c r="B404" s="15" t="s">
        <v>1274</v>
      </c>
      <c r="C404" s="14" t="s">
        <v>55</v>
      </c>
      <c r="D404" s="14" t="s">
        <v>101</v>
      </c>
      <c r="E404" s="14" t="s">
        <v>102</v>
      </c>
      <c r="F404" s="15" t="s">
        <v>46</v>
      </c>
      <c r="G404" s="14" t="s">
        <v>42</v>
      </c>
      <c r="H404" s="16" t="n">
        <v>46545</v>
      </c>
      <c r="I404" s="16" t="n">
        <v>46556</v>
      </c>
      <c r="J404" s="16" t="n">
        <v>46577</v>
      </c>
      <c r="K404" s="16" t="n">
        <v>46591</v>
      </c>
      <c r="L404" s="16" t="n">
        <v>46605</v>
      </c>
      <c r="M404" s="16" t="n">
        <v>46612</v>
      </c>
      <c r="N404" s="17"/>
      <c r="O404" s="16" t="n">
        <f aca="false">IF(N404&lt;&gt;"",N404,M404)</f>
        <v>46612</v>
      </c>
      <c r="P404" s="18" t="s">
        <v>31</v>
      </c>
      <c r="Q404" s="19" t="s">
        <v>1275</v>
      </c>
      <c r="R404" s="19"/>
      <c r="S404" s="14" t="str">
        <f aca="true">IF(AND(O404&lt;TODAY(),P404&lt;&gt;"Approved",P404&lt;&gt;"Live",P404&lt;&gt;"Not applicable"),"Overdue","")</f>
        <v/>
      </c>
      <c r="T404" s="14" t="str">
        <f aca="true">IF(S404="Overdue",TODAY()-O404,"")</f>
        <v/>
      </c>
    </row>
    <row r="405" customFormat="false" ht="35.05" hidden="false" customHeight="false" outlineLevel="0" collapsed="false">
      <c r="A405" s="14" t="s">
        <v>1276</v>
      </c>
      <c r="B405" s="15" t="s">
        <v>1277</v>
      </c>
      <c r="C405" s="14" t="s">
        <v>55</v>
      </c>
      <c r="D405" s="14" t="s">
        <v>275</v>
      </c>
      <c r="E405" s="14" t="s">
        <v>102</v>
      </c>
      <c r="F405" s="15" t="s">
        <v>50</v>
      </c>
      <c r="G405" s="14" t="s">
        <v>42</v>
      </c>
      <c r="H405" s="16" t="n">
        <v>46545</v>
      </c>
      <c r="I405" s="16" t="n">
        <v>46556</v>
      </c>
      <c r="J405" s="16" t="n">
        <v>46577</v>
      </c>
      <c r="K405" s="16" t="n">
        <v>46591</v>
      </c>
      <c r="L405" s="16" t="n">
        <v>46605</v>
      </c>
      <c r="M405" s="16" t="n">
        <v>46612</v>
      </c>
      <c r="N405" s="17"/>
      <c r="O405" s="16" t="n">
        <f aca="false">IF(N405&lt;&gt;"",N405,M405)</f>
        <v>46612</v>
      </c>
      <c r="P405" s="18" t="s">
        <v>31</v>
      </c>
      <c r="Q405" s="19" t="s">
        <v>1278</v>
      </c>
      <c r="R405" s="19"/>
      <c r="S405" s="14" t="str">
        <f aca="true">IF(AND(O405&lt;TODAY(),P405&lt;&gt;"Approved",P405&lt;&gt;"Live",P405&lt;&gt;"Not applicable"),"Overdue","")</f>
        <v/>
      </c>
      <c r="T405" s="14" t="str">
        <f aca="true">IF(S405="Overdue",TODAY()-O405,"")</f>
        <v/>
      </c>
    </row>
    <row r="406" customFormat="false" ht="23.85" hidden="false" customHeight="false" outlineLevel="0" collapsed="false">
      <c r="A406" s="14" t="s">
        <v>1279</v>
      </c>
      <c r="B406" s="15" t="s">
        <v>1280</v>
      </c>
      <c r="C406" s="14" t="s">
        <v>55</v>
      </c>
      <c r="D406" s="14" t="s">
        <v>275</v>
      </c>
      <c r="E406" s="14" t="s">
        <v>102</v>
      </c>
      <c r="F406" s="15" t="s">
        <v>50</v>
      </c>
      <c r="G406" s="14" t="s">
        <v>42</v>
      </c>
      <c r="H406" s="16" t="n">
        <v>46545</v>
      </c>
      <c r="I406" s="16" t="n">
        <v>46556</v>
      </c>
      <c r="J406" s="16" t="n">
        <v>46577</v>
      </c>
      <c r="K406" s="16" t="n">
        <v>46591</v>
      </c>
      <c r="L406" s="16" t="n">
        <v>46605</v>
      </c>
      <c r="M406" s="16" t="n">
        <v>46612</v>
      </c>
      <c r="N406" s="17"/>
      <c r="O406" s="16" t="n">
        <f aca="false">IF(N406&lt;&gt;"",N406,M406)</f>
        <v>46612</v>
      </c>
      <c r="P406" s="18" t="s">
        <v>31</v>
      </c>
      <c r="Q406" s="19" t="s">
        <v>1281</v>
      </c>
      <c r="R406" s="19"/>
      <c r="S406" s="14" t="str">
        <f aca="true">IF(AND(O406&lt;TODAY(),P406&lt;&gt;"Approved",P406&lt;&gt;"Live",P406&lt;&gt;"Not applicable"),"Overdue","")</f>
        <v/>
      </c>
      <c r="T406" s="14" t="str">
        <f aca="true">IF(S406="Overdue",TODAY()-O406,"")</f>
        <v/>
      </c>
    </row>
    <row r="407" customFormat="false" ht="23.85" hidden="false" customHeight="false" outlineLevel="0" collapsed="false">
      <c r="A407" s="14" t="s">
        <v>1282</v>
      </c>
      <c r="B407" s="15" t="s">
        <v>1283</v>
      </c>
      <c r="C407" s="14" t="s">
        <v>60</v>
      </c>
      <c r="D407" s="14" t="s">
        <v>282</v>
      </c>
      <c r="E407" s="14" t="s">
        <v>102</v>
      </c>
      <c r="F407" s="15" t="s">
        <v>49</v>
      </c>
      <c r="G407" s="14" t="s">
        <v>42</v>
      </c>
      <c r="H407" s="16" t="n">
        <v>46545</v>
      </c>
      <c r="I407" s="16" t="n">
        <v>46556</v>
      </c>
      <c r="J407" s="16" t="n">
        <v>46577</v>
      </c>
      <c r="K407" s="16" t="n">
        <v>46591</v>
      </c>
      <c r="L407" s="16" t="n">
        <v>46605</v>
      </c>
      <c r="M407" s="16" t="n">
        <v>46612</v>
      </c>
      <c r="N407" s="17"/>
      <c r="O407" s="16" t="n">
        <f aca="false">IF(N407&lt;&gt;"",N407,M407)</f>
        <v>46612</v>
      </c>
      <c r="P407" s="18" t="s">
        <v>31</v>
      </c>
      <c r="Q407" s="19" t="s">
        <v>540</v>
      </c>
      <c r="R407" s="19"/>
      <c r="S407" s="14" t="str">
        <f aca="true">IF(AND(O407&lt;TODAY(),P407&lt;&gt;"Approved",P407&lt;&gt;"Live",P407&lt;&gt;"Not applicable"),"Overdue","")</f>
        <v/>
      </c>
      <c r="T407" s="14" t="str">
        <f aca="true">IF(S407="Overdue",TODAY()-O407,"")</f>
        <v/>
      </c>
    </row>
    <row r="408" customFormat="false" ht="23.85" hidden="false" customHeight="false" outlineLevel="0" collapsed="false">
      <c r="A408" s="14" t="s">
        <v>1284</v>
      </c>
      <c r="B408" s="15" t="s">
        <v>1285</v>
      </c>
      <c r="C408" s="14" t="s">
        <v>60</v>
      </c>
      <c r="D408" s="14" t="s">
        <v>126</v>
      </c>
      <c r="E408" s="14" t="s">
        <v>102</v>
      </c>
      <c r="F408" s="15" t="s">
        <v>49</v>
      </c>
      <c r="G408" s="14" t="s">
        <v>42</v>
      </c>
      <c r="H408" s="16" t="n">
        <v>46545</v>
      </c>
      <c r="I408" s="16" t="n">
        <v>46556</v>
      </c>
      <c r="J408" s="16" t="n">
        <v>46577</v>
      </c>
      <c r="K408" s="16" t="n">
        <v>46591</v>
      </c>
      <c r="L408" s="16" t="n">
        <v>46605</v>
      </c>
      <c r="M408" s="16" t="n">
        <v>46612</v>
      </c>
      <c r="N408" s="17"/>
      <c r="O408" s="16" t="n">
        <f aca="false">IF(N408&lt;&gt;"",N408,M408)</f>
        <v>46612</v>
      </c>
      <c r="P408" s="18" t="s">
        <v>31</v>
      </c>
      <c r="Q408" s="19" t="s">
        <v>442</v>
      </c>
      <c r="R408" s="19"/>
      <c r="S408" s="14" t="str">
        <f aca="true">IF(AND(O408&lt;TODAY(),P408&lt;&gt;"Approved",P408&lt;&gt;"Live",P408&lt;&gt;"Not applicable"),"Overdue","")</f>
        <v/>
      </c>
      <c r="T408" s="14" t="str">
        <f aca="true">IF(S408="Overdue",TODAY()-O408,"")</f>
        <v/>
      </c>
    </row>
    <row r="409" customFormat="false" ht="23.85" hidden="false" customHeight="false" outlineLevel="0" collapsed="false">
      <c r="A409" s="14" t="s">
        <v>1286</v>
      </c>
      <c r="B409" s="15" t="s">
        <v>1287</v>
      </c>
      <c r="C409" s="14" t="s">
        <v>60</v>
      </c>
      <c r="D409" s="14" t="s">
        <v>203</v>
      </c>
      <c r="E409" s="14" t="s">
        <v>102</v>
      </c>
      <c r="F409" s="15" t="s">
        <v>49</v>
      </c>
      <c r="G409" s="14" t="s">
        <v>42</v>
      </c>
      <c r="H409" s="16" t="n">
        <v>46545</v>
      </c>
      <c r="I409" s="16" t="n">
        <v>46556</v>
      </c>
      <c r="J409" s="16" t="n">
        <v>46577</v>
      </c>
      <c r="K409" s="16" t="n">
        <v>46591</v>
      </c>
      <c r="L409" s="16" t="n">
        <v>46605</v>
      </c>
      <c r="M409" s="16" t="n">
        <v>46612</v>
      </c>
      <c r="N409" s="17"/>
      <c r="O409" s="16" t="n">
        <f aca="false">IF(N409&lt;&gt;"",N409,M409)</f>
        <v>46612</v>
      </c>
      <c r="P409" s="18" t="s">
        <v>31</v>
      </c>
      <c r="Q409" s="19" t="s">
        <v>1288</v>
      </c>
      <c r="R409" s="19"/>
      <c r="S409" s="14" t="str">
        <f aca="true">IF(AND(O409&lt;TODAY(),P409&lt;&gt;"Approved",P409&lt;&gt;"Live",P409&lt;&gt;"Not applicable"),"Overdue","")</f>
        <v/>
      </c>
      <c r="T409" s="14" t="str">
        <f aca="true">IF(S409="Overdue",TODAY()-O409,"")</f>
        <v/>
      </c>
    </row>
    <row r="410" customFormat="false" ht="23.85" hidden="false" customHeight="false" outlineLevel="0" collapsed="false">
      <c r="A410" s="14" t="s">
        <v>1289</v>
      </c>
      <c r="B410" s="15" t="s">
        <v>1290</v>
      </c>
      <c r="C410" s="14" t="s">
        <v>60</v>
      </c>
      <c r="D410" s="14" t="s">
        <v>190</v>
      </c>
      <c r="E410" s="14" t="s">
        <v>102</v>
      </c>
      <c r="F410" s="15" t="s">
        <v>48</v>
      </c>
      <c r="G410" s="14" t="s">
        <v>42</v>
      </c>
      <c r="H410" s="16" t="n">
        <v>46545</v>
      </c>
      <c r="I410" s="16" t="n">
        <v>46556</v>
      </c>
      <c r="J410" s="16" t="n">
        <v>46577</v>
      </c>
      <c r="K410" s="16" t="n">
        <v>46591</v>
      </c>
      <c r="L410" s="16" t="n">
        <v>46605</v>
      </c>
      <c r="M410" s="16" t="n">
        <v>46612</v>
      </c>
      <c r="N410" s="17"/>
      <c r="O410" s="16" t="n">
        <f aca="false">IF(N410&lt;&gt;"",N410,M410)</f>
        <v>46612</v>
      </c>
      <c r="P410" s="18" t="s">
        <v>31</v>
      </c>
      <c r="Q410" s="19" t="s">
        <v>713</v>
      </c>
      <c r="R410" s="19"/>
      <c r="S410" s="14" t="str">
        <f aca="true">IF(AND(O410&lt;TODAY(),P410&lt;&gt;"Approved",P410&lt;&gt;"Live",P410&lt;&gt;"Not applicable"),"Overdue","")</f>
        <v/>
      </c>
      <c r="T410" s="14" t="str">
        <f aca="true">IF(S410="Overdue",TODAY()-O410,"")</f>
        <v/>
      </c>
    </row>
    <row r="411" customFormat="false" ht="23.85" hidden="false" customHeight="false" outlineLevel="0" collapsed="false">
      <c r="A411" s="14" t="s">
        <v>1291</v>
      </c>
      <c r="B411" s="15" t="s">
        <v>1292</v>
      </c>
      <c r="C411" s="14" t="s">
        <v>60</v>
      </c>
      <c r="D411" s="14" t="s">
        <v>222</v>
      </c>
      <c r="E411" s="14" t="s">
        <v>102</v>
      </c>
      <c r="F411" s="15" t="s">
        <v>48</v>
      </c>
      <c r="G411" s="14" t="s">
        <v>42</v>
      </c>
      <c r="H411" s="16" t="n">
        <v>46545</v>
      </c>
      <c r="I411" s="16" t="n">
        <v>46556</v>
      </c>
      <c r="J411" s="16" t="n">
        <v>46577</v>
      </c>
      <c r="K411" s="16" t="n">
        <v>46591</v>
      </c>
      <c r="L411" s="16" t="n">
        <v>46605</v>
      </c>
      <c r="M411" s="16" t="n">
        <v>46612</v>
      </c>
      <c r="N411" s="17"/>
      <c r="O411" s="16" t="n">
        <f aca="false">IF(N411&lt;&gt;"",N411,M411)</f>
        <v>46612</v>
      </c>
      <c r="P411" s="18" t="s">
        <v>31</v>
      </c>
      <c r="Q411" s="19" t="s">
        <v>1293</v>
      </c>
      <c r="R411" s="19"/>
      <c r="S411" s="14" t="str">
        <f aca="true">IF(AND(O411&lt;TODAY(),P411&lt;&gt;"Approved",P411&lt;&gt;"Live",P411&lt;&gt;"Not applicable"),"Overdue","")</f>
        <v/>
      </c>
      <c r="T411" s="14" t="str">
        <f aca="true">IF(S411="Overdue",TODAY()-O411,"")</f>
        <v/>
      </c>
    </row>
    <row r="412" customFormat="false" ht="15" hidden="false" customHeight="false" outlineLevel="0" collapsed="false">
      <c r="A412" s="14" t="s">
        <v>1294</v>
      </c>
      <c r="B412" s="15" t="s">
        <v>1295</v>
      </c>
      <c r="C412" s="14" t="s">
        <v>60</v>
      </c>
      <c r="D412" s="14" t="s">
        <v>190</v>
      </c>
      <c r="E412" s="14" t="s">
        <v>102</v>
      </c>
      <c r="F412" s="15" t="s">
        <v>48</v>
      </c>
      <c r="G412" s="14" t="s">
        <v>42</v>
      </c>
      <c r="H412" s="16" t="n">
        <v>46545</v>
      </c>
      <c r="I412" s="16" t="n">
        <v>46556</v>
      </c>
      <c r="J412" s="16" t="n">
        <v>46577</v>
      </c>
      <c r="K412" s="16" t="n">
        <v>46591</v>
      </c>
      <c r="L412" s="16" t="n">
        <v>46605</v>
      </c>
      <c r="M412" s="16" t="n">
        <v>46612</v>
      </c>
      <c r="N412" s="17"/>
      <c r="O412" s="16" t="n">
        <f aca="false">IF(N412&lt;&gt;"",N412,M412)</f>
        <v>46612</v>
      </c>
      <c r="P412" s="18" t="s">
        <v>31</v>
      </c>
      <c r="Q412" s="19" t="s">
        <v>1296</v>
      </c>
      <c r="R412" s="19"/>
      <c r="S412" s="14" t="str">
        <f aca="true">IF(AND(O412&lt;TODAY(),P412&lt;&gt;"Approved",P412&lt;&gt;"Live",P412&lt;&gt;"Not applicable"),"Overdue","")</f>
        <v/>
      </c>
      <c r="T412" s="14" t="str">
        <f aca="true">IF(S412="Overdue",TODAY()-O412,"")</f>
        <v/>
      </c>
    </row>
    <row r="413" customFormat="false" ht="15" hidden="false" customHeight="false" outlineLevel="0" collapsed="false">
      <c r="A413" s="14" t="s">
        <v>1297</v>
      </c>
      <c r="B413" s="15" t="s">
        <v>1298</v>
      </c>
      <c r="C413" s="14" t="s">
        <v>60</v>
      </c>
      <c r="D413" s="14" t="s">
        <v>126</v>
      </c>
      <c r="E413" s="14" t="s">
        <v>102</v>
      </c>
      <c r="F413" s="15" t="s">
        <v>49</v>
      </c>
      <c r="G413" s="14" t="s">
        <v>42</v>
      </c>
      <c r="H413" s="16" t="n">
        <v>46545</v>
      </c>
      <c r="I413" s="16" t="n">
        <v>46556</v>
      </c>
      <c r="J413" s="16" t="n">
        <v>46577</v>
      </c>
      <c r="K413" s="16" t="n">
        <v>46591</v>
      </c>
      <c r="L413" s="16" t="n">
        <v>46605</v>
      </c>
      <c r="M413" s="16" t="n">
        <v>46612</v>
      </c>
      <c r="N413" s="17"/>
      <c r="O413" s="16" t="n">
        <f aca="false">IF(N413&lt;&gt;"",N413,M413)</f>
        <v>46612</v>
      </c>
      <c r="P413" s="18" t="s">
        <v>31</v>
      </c>
      <c r="Q413" s="19" t="s">
        <v>1299</v>
      </c>
      <c r="R413" s="19"/>
      <c r="S413" s="14" t="str">
        <f aca="true">IF(AND(O413&lt;TODAY(),P413&lt;&gt;"Approved",P413&lt;&gt;"Live",P413&lt;&gt;"Not applicable"),"Overdue","")</f>
        <v/>
      </c>
      <c r="T413" s="14" t="str">
        <f aca="true">IF(S413="Overdue",TODAY()-O413,"")</f>
        <v/>
      </c>
    </row>
    <row r="414" customFormat="false" ht="23.85" hidden="false" customHeight="false" outlineLevel="0" collapsed="false">
      <c r="A414" s="14" t="s">
        <v>1300</v>
      </c>
      <c r="B414" s="15" t="s">
        <v>1301</v>
      </c>
      <c r="C414" s="14" t="s">
        <v>60</v>
      </c>
      <c r="D414" s="14" t="s">
        <v>101</v>
      </c>
      <c r="E414" s="14" t="s">
        <v>102</v>
      </c>
      <c r="F414" s="15" t="s">
        <v>46</v>
      </c>
      <c r="G414" s="14" t="s">
        <v>42</v>
      </c>
      <c r="H414" s="16" t="n">
        <v>46545</v>
      </c>
      <c r="I414" s="16" t="n">
        <v>46556</v>
      </c>
      <c r="J414" s="16" t="n">
        <v>46577</v>
      </c>
      <c r="K414" s="16" t="n">
        <v>46591</v>
      </c>
      <c r="L414" s="16" t="n">
        <v>46605</v>
      </c>
      <c r="M414" s="16" t="n">
        <v>46612</v>
      </c>
      <c r="N414" s="17"/>
      <c r="O414" s="16" t="n">
        <f aca="false">IF(N414&lt;&gt;"",N414,M414)</f>
        <v>46612</v>
      </c>
      <c r="P414" s="18" t="s">
        <v>31</v>
      </c>
      <c r="Q414" s="19" t="s">
        <v>1056</v>
      </c>
      <c r="R414" s="19"/>
      <c r="S414" s="14" t="str">
        <f aca="true">IF(AND(O414&lt;TODAY(),P414&lt;&gt;"Approved",P414&lt;&gt;"Live",P414&lt;&gt;"Not applicable"),"Overdue","")</f>
        <v/>
      </c>
      <c r="T414" s="14" t="str">
        <f aca="true">IF(S414="Overdue",TODAY()-O414,"")</f>
        <v/>
      </c>
    </row>
    <row r="415" customFormat="false" ht="15" hidden="false" customHeight="false" outlineLevel="0" collapsed="false">
      <c r="A415" s="14" t="s">
        <v>1302</v>
      </c>
      <c r="B415" s="15" t="s">
        <v>1303</v>
      </c>
      <c r="C415" s="14" t="s">
        <v>60</v>
      </c>
      <c r="D415" s="14" t="s">
        <v>186</v>
      </c>
      <c r="E415" s="14" t="s">
        <v>102</v>
      </c>
      <c r="F415" s="15" t="s">
        <v>51</v>
      </c>
      <c r="G415" s="14" t="s">
        <v>42</v>
      </c>
      <c r="H415" s="16" t="n">
        <v>46545</v>
      </c>
      <c r="I415" s="16" t="n">
        <v>46556</v>
      </c>
      <c r="J415" s="16" t="n">
        <v>46577</v>
      </c>
      <c r="K415" s="16" t="n">
        <v>46591</v>
      </c>
      <c r="L415" s="16" t="n">
        <v>46605</v>
      </c>
      <c r="M415" s="16" t="n">
        <v>46612</v>
      </c>
      <c r="N415" s="17"/>
      <c r="O415" s="16" t="n">
        <f aca="false">IF(N415&lt;&gt;"",N415,M415)</f>
        <v>46612</v>
      </c>
      <c r="P415" s="18" t="s">
        <v>31</v>
      </c>
      <c r="Q415" s="19" t="s">
        <v>1304</v>
      </c>
      <c r="R415" s="19"/>
      <c r="S415" s="14" t="str">
        <f aca="true">IF(AND(O415&lt;TODAY(),P415&lt;&gt;"Approved",P415&lt;&gt;"Live",P415&lt;&gt;"Not applicable"),"Overdue","")</f>
        <v/>
      </c>
      <c r="T415" s="14" t="str">
        <f aca="true">IF(S415="Overdue",TODAY()-O415,"")</f>
        <v/>
      </c>
    </row>
    <row r="416" customFormat="false" ht="15" hidden="false" customHeight="false" outlineLevel="0" collapsed="false">
      <c r="A416" s="14" t="s">
        <v>1305</v>
      </c>
      <c r="B416" s="15" t="s">
        <v>1306</v>
      </c>
      <c r="C416" s="14" t="s">
        <v>60</v>
      </c>
      <c r="D416" s="14" t="s">
        <v>282</v>
      </c>
      <c r="E416" s="14" t="s">
        <v>102</v>
      </c>
      <c r="F416" s="15" t="s">
        <v>49</v>
      </c>
      <c r="G416" s="14" t="s">
        <v>42</v>
      </c>
      <c r="H416" s="16" t="n">
        <v>46545</v>
      </c>
      <c r="I416" s="16" t="n">
        <v>46556</v>
      </c>
      <c r="J416" s="16" t="n">
        <v>46577</v>
      </c>
      <c r="K416" s="16" t="n">
        <v>46591</v>
      </c>
      <c r="L416" s="16" t="n">
        <v>46605</v>
      </c>
      <c r="M416" s="16" t="n">
        <v>46612</v>
      </c>
      <c r="N416" s="17"/>
      <c r="O416" s="16" t="n">
        <f aca="false">IF(N416&lt;&gt;"",N416,M416)</f>
        <v>46612</v>
      </c>
      <c r="P416" s="18" t="s">
        <v>31</v>
      </c>
      <c r="Q416" s="19" t="s">
        <v>445</v>
      </c>
      <c r="R416" s="19"/>
      <c r="S416" s="14" t="str">
        <f aca="true">IF(AND(O416&lt;TODAY(),P416&lt;&gt;"Approved",P416&lt;&gt;"Live",P416&lt;&gt;"Not applicable"),"Overdue","")</f>
        <v/>
      </c>
      <c r="T416" s="14" t="str">
        <f aca="true">IF(S416="Overdue",TODAY()-O416,"")</f>
        <v/>
      </c>
    </row>
    <row r="417" customFormat="false" ht="23.85" hidden="false" customHeight="false" outlineLevel="0" collapsed="false">
      <c r="A417" s="14" t="s">
        <v>1307</v>
      </c>
      <c r="B417" s="15" t="s">
        <v>1308</v>
      </c>
      <c r="C417" s="14" t="s">
        <v>60</v>
      </c>
      <c r="D417" s="14" t="s">
        <v>170</v>
      </c>
      <c r="E417" s="14" t="s">
        <v>102</v>
      </c>
      <c r="F417" s="15" t="s">
        <v>51</v>
      </c>
      <c r="G417" s="14" t="s">
        <v>42</v>
      </c>
      <c r="H417" s="16" t="n">
        <v>46545</v>
      </c>
      <c r="I417" s="16" t="n">
        <v>46556</v>
      </c>
      <c r="J417" s="16" t="n">
        <v>46577</v>
      </c>
      <c r="K417" s="16" t="n">
        <v>46591</v>
      </c>
      <c r="L417" s="16" t="n">
        <v>46605</v>
      </c>
      <c r="M417" s="16" t="n">
        <v>46612</v>
      </c>
      <c r="N417" s="17"/>
      <c r="O417" s="16" t="n">
        <f aca="false">IF(N417&lt;&gt;"",N417,M417)</f>
        <v>46612</v>
      </c>
      <c r="P417" s="18" t="s">
        <v>31</v>
      </c>
      <c r="Q417" s="19" t="s">
        <v>1309</v>
      </c>
      <c r="R417" s="19"/>
      <c r="S417" s="14" t="str">
        <f aca="true">IF(AND(O417&lt;TODAY(),P417&lt;&gt;"Approved",P417&lt;&gt;"Live",P417&lt;&gt;"Not applicable"),"Overdue","")</f>
        <v/>
      </c>
      <c r="T417" s="14" t="str">
        <f aca="true">IF(S417="Overdue",TODAY()-O417,"")</f>
        <v/>
      </c>
    </row>
    <row r="418" customFormat="false" ht="15" hidden="false" customHeight="false" outlineLevel="0" collapsed="false">
      <c r="A418" s="14" t="s">
        <v>1310</v>
      </c>
      <c r="B418" s="15" t="s">
        <v>1311</v>
      </c>
      <c r="C418" s="14" t="s">
        <v>60</v>
      </c>
      <c r="D418" s="14" t="s">
        <v>170</v>
      </c>
      <c r="E418" s="14" t="s">
        <v>102</v>
      </c>
      <c r="F418" s="15" t="s">
        <v>51</v>
      </c>
      <c r="G418" s="14" t="s">
        <v>42</v>
      </c>
      <c r="H418" s="16" t="n">
        <v>46545</v>
      </c>
      <c r="I418" s="16" t="n">
        <v>46556</v>
      </c>
      <c r="J418" s="16" t="n">
        <v>46577</v>
      </c>
      <c r="K418" s="16" t="n">
        <v>46591</v>
      </c>
      <c r="L418" s="16" t="n">
        <v>46605</v>
      </c>
      <c r="M418" s="16" t="n">
        <v>46612</v>
      </c>
      <c r="N418" s="17"/>
      <c r="O418" s="16" t="n">
        <f aca="false">IF(N418&lt;&gt;"",N418,M418)</f>
        <v>46612</v>
      </c>
      <c r="P418" s="18" t="s">
        <v>31</v>
      </c>
      <c r="Q418" s="19" t="s">
        <v>1312</v>
      </c>
      <c r="R418" s="19"/>
      <c r="S418" s="14" t="str">
        <f aca="true">IF(AND(O418&lt;TODAY(),P418&lt;&gt;"Approved",P418&lt;&gt;"Live",P418&lt;&gt;"Not applicable"),"Overdue","")</f>
        <v/>
      </c>
      <c r="T418" s="14" t="str">
        <f aca="true">IF(S418="Overdue",TODAY()-O418,"")</f>
        <v/>
      </c>
    </row>
    <row r="419" customFormat="false" ht="23.85" hidden="false" customHeight="false" outlineLevel="0" collapsed="false">
      <c r="A419" s="14" t="s">
        <v>1313</v>
      </c>
      <c r="B419" s="15" t="s">
        <v>1314</v>
      </c>
      <c r="C419" s="14" t="s">
        <v>60</v>
      </c>
      <c r="D419" s="14" t="s">
        <v>81</v>
      </c>
      <c r="E419" s="14" t="s">
        <v>102</v>
      </c>
      <c r="F419" s="15" t="s">
        <v>46</v>
      </c>
      <c r="G419" s="14" t="s">
        <v>42</v>
      </c>
      <c r="H419" s="16" t="n">
        <v>46545</v>
      </c>
      <c r="I419" s="16" t="n">
        <v>46556</v>
      </c>
      <c r="J419" s="16" t="n">
        <v>46577</v>
      </c>
      <c r="K419" s="16" t="n">
        <v>46591</v>
      </c>
      <c r="L419" s="16" t="n">
        <v>46605</v>
      </c>
      <c r="M419" s="16" t="n">
        <v>46612</v>
      </c>
      <c r="N419" s="17"/>
      <c r="O419" s="16" t="n">
        <f aca="false">IF(N419&lt;&gt;"",N419,M419)</f>
        <v>46612</v>
      </c>
      <c r="P419" s="18" t="s">
        <v>31</v>
      </c>
      <c r="Q419" s="19" t="s">
        <v>945</v>
      </c>
      <c r="R419" s="19"/>
      <c r="S419" s="14" t="str">
        <f aca="true">IF(AND(O419&lt;TODAY(),P419&lt;&gt;"Approved",P419&lt;&gt;"Live",P419&lt;&gt;"Not applicable"),"Overdue","")</f>
        <v/>
      </c>
      <c r="T419" s="14" t="str">
        <f aca="true">IF(S419="Overdue",TODAY()-O419,"")</f>
        <v/>
      </c>
    </row>
    <row r="420" customFormat="false" ht="23.85" hidden="false" customHeight="false" outlineLevel="0" collapsed="false">
      <c r="A420" s="14" t="s">
        <v>1315</v>
      </c>
      <c r="B420" s="15" t="s">
        <v>1316</v>
      </c>
      <c r="C420" s="14" t="s">
        <v>60</v>
      </c>
      <c r="D420" s="14" t="s">
        <v>101</v>
      </c>
      <c r="E420" s="14" t="s">
        <v>102</v>
      </c>
      <c r="F420" s="15" t="s">
        <v>46</v>
      </c>
      <c r="G420" s="14" t="s">
        <v>42</v>
      </c>
      <c r="H420" s="16" t="n">
        <v>46545</v>
      </c>
      <c r="I420" s="16" t="n">
        <v>46556</v>
      </c>
      <c r="J420" s="16" t="n">
        <v>46577</v>
      </c>
      <c r="K420" s="16" t="n">
        <v>46591</v>
      </c>
      <c r="L420" s="16" t="n">
        <v>46605</v>
      </c>
      <c r="M420" s="16" t="n">
        <v>46612</v>
      </c>
      <c r="N420" s="17"/>
      <c r="O420" s="16" t="n">
        <f aca="false">IF(N420&lt;&gt;"",N420,M420)</f>
        <v>46612</v>
      </c>
      <c r="P420" s="18" t="s">
        <v>31</v>
      </c>
      <c r="Q420" s="19" t="s">
        <v>1317</v>
      </c>
      <c r="R420" s="19"/>
      <c r="S420" s="14" t="str">
        <f aca="true">IF(AND(O420&lt;TODAY(),P420&lt;&gt;"Approved",P420&lt;&gt;"Live",P420&lt;&gt;"Not applicable"),"Overdue","")</f>
        <v/>
      </c>
      <c r="T420" s="14" t="str">
        <f aca="true">IF(S420="Overdue",TODAY()-O420,"")</f>
        <v/>
      </c>
    </row>
    <row r="421" customFormat="false" ht="46.25" hidden="false" customHeight="false" outlineLevel="0" collapsed="false">
      <c r="A421" s="14" t="s">
        <v>1318</v>
      </c>
      <c r="B421" s="15" t="s">
        <v>1319</v>
      </c>
      <c r="C421" s="14" t="s">
        <v>55</v>
      </c>
      <c r="D421" s="14" t="s">
        <v>109</v>
      </c>
      <c r="E421" s="14" t="s">
        <v>102</v>
      </c>
      <c r="F421" s="15" t="s">
        <v>47</v>
      </c>
      <c r="G421" s="14" t="s">
        <v>42</v>
      </c>
      <c r="H421" s="16" t="n">
        <v>46545</v>
      </c>
      <c r="I421" s="16" t="n">
        <v>46556</v>
      </c>
      <c r="J421" s="16" t="n">
        <v>46577</v>
      </c>
      <c r="K421" s="16" t="n">
        <v>46591</v>
      </c>
      <c r="L421" s="16" t="n">
        <v>46605</v>
      </c>
      <c r="M421" s="16" t="n">
        <v>46612</v>
      </c>
      <c r="N421" s="17"/>
      <c r="O421" s="16" t="n">
        <f aca="false">IF(N421&lt;&gt;"",N421,M421)</f>
        <v>46612</v>
      </c>
      <c r="P421" s="18" t="s">
        <v>31</v>
      </c>
      <c r="Q421" s="19" t="s">
        <v>1320</v>
      </c>
      <c r="R421" s="19"/>
      <c r="S421" s="14" t="str">
        <f aca="true">IF(AND(O421&lt;TODAY(),P421&lt;&gt;"Approved",P421&lt;&gt;"Live",P421&lt;&gt;"Not applicable"),"Overdue","")</f>
        <v/>
      </c>
      <c r="T421" s="14" t="str">
        <f aca="true">IF(S421="Overdue",TODAY()-O421,"")</f>
        <v/>
      </c>
    </row>
    <row r="422" customFormat="false" ht="35.05" hidden="false" customHeight="false" outlineLevel="0" collapsed="false">
      <c r="A422" s="14" t="s">
        <v>1321</v>
      </c>
      <c r="B422" s="15" t="s">
        <v>1322</v>
      </c>
      <c r="C422" s="14" t="s">
        <v>55</v>
      </c>
      <c r="D422" s="14" t="s">
        <v>109</v>
      </c>
      <c r="E422" s="14" t="s">
        <v>102</v>
      </c>
      <c r="F422" s="15" t="s">
        <v>47</v>
      </c>
      <c r="G422" s="14" t="s">
        <v>42</v>
      </c>
      <c r="H422" s="16" t="n">
        <v>46545</v>
      </c>
      <c r="I422" s="16" t="n">
        <v>46556</v>
      </c>
      <c r="J422" s="16" t="n">
        <v>46577</v>
      </c>
      <c r="K422" s="16" t="n">
        <v>46591</v>
      </c>
      <c r="L422" s="16" t="n">
        <v>46605</v>
      </c>
      <c r="M422" s="16" t="n">
        <v>46612</v>
      </c>
      <c r="N422" s="17"/>
      <c r="O422" s="16" t="n">
        <f aca="false">IF(N422&lt;&gt;"",N422,M422)</f>
        <v>46612</v>
      </c>
      <c r="P422" s="18" t="s">
        <v>31</v>
      </c>
      <c r="Q422" s="19" t="s">
        <v>1323</v>
      </c>
      <c r="R422" s="19"/>
      <c r="S422" s="14" t="str">
        <f aca="true">IF(AND(O422&lt;TODAY(),P422&lt;&gt;"Approved",P422&lt;&gt;"Live",P422&lt;&gt;"Not applicable"),"Overdue","")</f>
        <v/>
      </c>
      <c r="T422" s="14" t="str">
        <f aca="true">IF(S422="Overdue",TODAY()-O422,"")</f>
        <v/>
      </c>
    </row>
    <row r="423" customFormat="false" ht="23.85" hidden="false" customHeight="false" outlineLevel="0" collapsed="false">
      <c r="A423" s="14" t="s">
        <v>1324</v>
      </c>
      <c r="B423" s="15" t="s">
        <v>1325</v>
      </c>
      <c r="C423" s="14" t="s">
        <v>54</v>
      </c>
      <c r="D423" s="14" t="s">
        <v>81</v>
      </c>
      <c r="E423" s="14" t="s">
        <v>1326</v>
      </c>
      <c r="F423" s="15" t="s">
        <v>46</v>
      </c>
      <c r="G423" s="14" t="s">
        <v>43</v>
      </c>
      <c r="H423" s="16" t="n">
        <v>46615</v>
      </c>
      <c r="I423" s="16" t="n">
        <v>46619</v>
      </c>
      <c r="J423" s="16" t="n">
        <v>46633</v>
      </c>
      <c r="K423" s="16" t="n">
        <v>46640</v>
      </c>
      <c r="L423" s="16" t="n">
        <v>46647</v>
      </c>
      <c r="M423" s="16" t="n">
        <v>46654</v>
      </c>
      <c r="N423" s="17"/>
      <c r="O423" s="16" t="n">
        <f aca="false">IF(N423&lt;&gt;"",N423,M423)</f>
        <v>46654</v>
      </c>
      <c r="P423" s="18" t="s">
        <v>31</v>
      </c>
      <c r="Q423" s="19" t="s">
        <v>106</v>
      </c>
      <c r="R423" s="19"/>
      <c r="S423" s="14" t="str">
        <f aca="true">IF(AND(O423&lt;TODAY(),P423&lt;&gt;"Approved",P423&lt;&gt;"Live",P423&lt;&gt;"Not applicable"),"Overdue","")</f>
        <v/>
      </c>
      <c r="T423" s="14" t="str">
        <f aca="true">IF(S423="Overdue",TODAY()-O423,"")</f>
        <v/>
      </c>
    </row>
    <row r="424" customFormat="false" ht="15" hidden="false" customHeight="false" outlineLevel="0" collapsed="false">
      <c r="A424" s="14" t="s">
        <v>1327</v>
      </c>
      <c r="B424" s="15" t="s">
        <v>1328</v>
      </c>
      <c r="C424" s="14" t="s">
        <v>54</v>
      </c>
      <c r="D424" s="14" t="s">
        <v>109</v>
      </c>
      <c r="E424" s="14" t="s">
        <v>1326</v>
      </c>
      <c r="F424" s="15" t="s">
        <v>47</v>
      </c>
      <c r="G424" s="14" t="s">
        <v>43</v>
      </c>
      <c r="H424" s="16" t="n">
        <v>46615</v>
      </c>
      <c r="I424" s="16" t="n">
        <v>46619</v>
      </c>
      <c r="J424" s="16" t="n">
        <v>46633</v>
      </c>
      <c r="K424" s="16" t="n">
        <v>46640</v>
      </c>
      <c r="L424" s="16" t="n">
        <v>46647</v>
      </c>
      <c r="M424" s="16" t="n">
        <v>46654</v>
      </c>
      <c r="N424" s="17"/>
      <c r="O424" s="16" t="n">
        <f aca="false">IF(N424&lt;&gt;"",N424,M424)</f>
        <v>46654</v>
      </c>
      <c r="P424" s="18" t="s">
        <v>31</v>
      </c>
      <c r="Q424" s="19" t="s">
        <v>1329</v>
      </c>
      <c r="R424" s="19"/>
      <c r="S424" s="14" t="str">
        <f aca="true">IF(AND(O424&lt;TODAY(),P424&lt;&gt;"Approved",P424&lt;&gt;"Live",P424&lt;&gt;"Not applicable"),"Overdue","")</f>
        <v/>
      </c>
      <c r="T424" s="14" t="str">
        <f aca="true">IF(S424="Overdue",TODAY()-O424,"")</f>
        <v/>
      </c>
    </row>
    <row r="425" customFormat="false" ht="15" hidden="false" customHeight="false" outlineLevel="0" collapsed="false">
      <c r="A425" s="14" t="s">
        <v>1330</v>
      </c>
      <c r="B425" s="15" t="s">
        <v>1331</v>
      </c>
      <c r="C425" s="14" t="s">
        <v>54</v>
      </c>
      <c r="D425" s="14" t="s">
        <v>126</v>
      </c>
      <c r="E425" s="14" t="s">
        <v>1326</v>
      </c>
      <c r="F425" s="15" t="s">
        <v>49</v>
      </c>
      <c r="G425" s="14" t="s">
        <v>43</v>
      </c>
      <c r="H425" s="16" t="n">
        <v>46615</v>
      </c>
      <c r="I425" s="16" t="n">
        <v>46619</v>
      </c>
      <c r="J425" s="16" t="n">
        <v>46633</v>
      </c>
      <c r="K425" s="16" t="n">
        <v>46640</v>
      </c>
      <c r="L425" s="16" t="n">
        <v>46647</v>
      </c>
      <c r="M425" s="16" t="n">
        <v>46654</v>
      </c>
      <c r="N425" s="17"/>
      <c r="O425" s="16" t="n">
        <f aca="false">IF(N425&lt;&gt;"",N425,M425)</f>
        <v>46654</v>
      </c>
      <c r="P425" s="18" t="s">
        <v>31</v>
      </c>
      <c r="Q425" s="19" t="s">
        <v>1332</v>
      </c>
      <c r="R425" s="19"/>
      <c r="S425" s="14" t="str">
        <f aca="true">IF(AND(O425&lt;TODAY(),P425&lt;&gt;"Approved",P425&lt;&gt;"Live",P425&lt;&gt;"Not applicable"),"Overdue","")</f>
        <v/>
      </c>
      <c r="T425" s="14" t="str">
        <f aca="true">IF(S425="Overdue",TODAY()-O425,"")</f>
        <v/>
      </c>
    </row>
    <row r="426" customFormat="false" ht="23.85" hidden="false" customHeight="false" outlineLevel="0" collapsed="false">
      <c r="A426" s="14" t="s">
        <v>1333</v>
      </c>
      <c r="B426" s="15" t="s">
        <v>1334</v>
      </c>
      <c r="C426" s="14" t="s">
        <v>54</v>
      </c>
      <c r="D426" s="14" t="s">
        <v>163</v>
      </c>
      <c r="E426" s="14" t="s">
        <v>1326</v>
      </c>
      <c r="F426" s="15" t="s">
        <v>48</v>
      </c>
      <c r="G426" s="14" t="s">
        <v>43</v>
      </c>
      <c r="H426" s="16" t="n">
        <v>46615</v>
      </c>
      <c r="I426" s="16" t="n">
        <v>46619</v>
      </c>
      <c r="J426" s="16" t="n">
        <v>46633</v>
      </c>
      <c r="K426" s="16" t="n">
        <v>46640</v>
      </c>
      <c r="L426" s="16" t="n">
        <v>46647</v>
      </c>
      <c r="M426" s="16" t="n">
        <v>46654</v>
      </c>
      <c r="N426" s="17"/>
      <c r="O426" s="16" t="n">
        <f aca="false">IF(N426&lt;&gt;"",N426,M426)</f>
        <v>46654</v>
      </c>
      <c r="P426" s="18" t="s">
        <v>31</v>
      </c>
      <c r="Q426" s="19" t="s">
        <v>1335</v>
      </c>
      <c r="R426" s="19"/>
      <c r="S426" s="14" t="str">
        <f aca="true">IF(AND(O426&lt;TODAY(),P426&lt;&gt;"Approved",P426&lt;&gt;"Live",P426&lt;&gt;"Not applicable"),"Overdue","")</f>
        <v/>
      </c>
      <c r="T426" s="14" t="str">
        <f aca="true">IF(S426="Overdue",TODAY()-O426,"")</f>
        <v/>
      </c>
    </row>
    <row r="427" customFormat="false" ht="23.85" hidden="false" customHeight="false" outlineLevel="0" collapsed="false">
      <c r="A427" s="14" t="s">
        <v>1336</v>
      </c>
      <c r="B427" s="15" t="s">
        <v>1337</v>
      </c>
      <c r="C427" s="14" t="s">
        <v>54</v>
      </c>
      <c r="D427" s="14" t="s">
        <v>163</v>
      </c>
      <c r="E427" s="14" t="s">
        <v>1326</v>
      </c>
      <c r="F427" s="15" t="s">
        <v>48</v>
      </c>
      <c r="G427" s="14" t="s">
        <v>43</v>
      </c>
      <c r="H427" s="16" t="n">
        <v>46615</v>
      </c>
      <c r="I427" s="16" t="n">
        <v>46619</v>
      </c>
      <c r="J427" s="16" t="n">
        <v>46633</v>
      </c>
      <c r="K427" s="16" t="n">
        <v>46640</v>
      </c>
      <c r="L427" s="16" t="n">
        <v>46647</v>
      </c>
      <c r="M427" s="16" t="n">
        <v>46654</v>
      </c>
      <c r="N427" s="17"/>
      <c r="O427" s="16" t="n">
        <f aca="false">IF(N427&lt;&gt;"",N427,M427)</f>
        <v>46654</v>
      </c>
      <c r="P427" s="18" t="s">
        <v>31</v>
      </c>
      <c r="Q427" s="19" t="s">
        <v>1338</v>
      </c>
      <c r="R427" s="19"/>
      <c r="S427" s="14" t="str">
        <f aca="true">IF(AND(O427&lt;TODAY(),P427&lt;&gt;"Approved",P427&lt;&gt;"Live",P427&lt;&gt;"Not applicable"),"Overdue","")</f>
        <v/>
      </c>
      <c r="T427" s="14" t="str">
        <f aca="true">IF(S427="Overdue",TODAY()-O427,"")</f>
        <v/>
      </c>
    </row>
    <row r="428" customFormat="false" ht="23.85" hidden="false" customHeight="false" outlineLevel="0" collapsed="false">
      <c r="A428" s="14" t="s">
        <v>1339</v>
      </c>
      <c r="B428" s="15" t="s">
        <v>1340</v>
      </c>
      <c r="C428" s="14" t="s">
        <v>54</v>
      </c>
      <c r="D428" s="14" t="s">
        <v>275</v>
      </c>
      <c r="E428" s="14" t="s">
        <v>1326</v>
      </c>
      <c r="F428" s="15" t="s">
        <v>50</v>
      </c>
      <c r="G428" s="14" t="s">
        <v>43</v>
      </c>
      <c r="H428" s="16" t="n">
        <v>46615</v>
      </c>
      <c r="I428" s="16" t="n">
        <v>46619</v>
      </c>
      <c r="J428" s="16" t="n">
        <v>46633</v>
      </c>
      <c r="K428" s="16" t="n">
        <v>46640</v>
      </c>
      <c r="L428" s="16" t="n">
        <v>46647</v>
      </c>
      <c r="M428" s="16" t="n">
        <v>46654</v>
      </c>
      <c r="N428" s="17"/>
      <c r="O428" s="16" t="n">
        <f aca="false">IF(N428&lt;&gt;"",N428,M428)</f>
        <v>46654</v>
      </c>
      <c r="P428" s="18" t="s">
        <v>31</v>
      </c>
      <c r="Q428" s="19" t="s">
        <v>1341</v>
      </c>
      <c r="R428" s="19"/>
      <c r="S428" s="14" t="str">
        <f aca="true">IF(AND(O428&lt;TODAY(),P428&lt;&gt;"Approved",P428&lt;&gt;"Live",P428&lt;&gt;"Not applicable"),"Overdue","")</f>
        <v/>
      </c>
      <c r="T428" s="14" t="str">
        <f aca="true">IF(S428="Overdue",TODAY()-O428,"")</f>
        <v/>
      </c>
    </row>
    <row r="429" customFormat="false" ht="23.85" hidden="false" customHeight="false" outlineLevel="0" collapsed="false">
      <c r="A429" s="14" t="s">
        <v>1342</v>
      </c>
      <c r="B429" s="15" t="s">
        <v>1343</v>
      </c>
      <c r="C429" s="14" t="s">
        <v>58</v>
      </c>
      <c r="D429" s="14" t="s">
        <v>170</v>
      </c>
      <c r="E429" s="14" t="s">
        <v>1326</v>
      </c>
      <c r="F429" s="15" t="s">
        <v>51</v>
      </c>
      <c r="G429" s="14" t="s">
        <v>43</v>
      </c>
      <c r="H429" s="16" t="n">
        <v>46615</v>
      </c>
      <c r="I429" s="16" t="n">
        <v>46619</v>
      </c>
      <c r="J429" s="16" t="n">
        <v>46633</v>
      </c>
      <c r="K429" s="16" t="n">
        <v>46640</v>
      </c>
      <c r="L429" s="16" t="n">
        <v>46647</v>
      </c>
      <c r="M429" s="16" t="n">
        <v>46654</v>
      </c>
      <c r="N429" s="17"/>
      <c r="O429" s="16" t="n">
        <f aca="false">IF(N429&lt;&gt;"",N429,M429)</f>
        <v>46654</v>
      </c>
      <c r="P429" s="18" t="s">
        <v>31</v>
      </c>
      <c r="Q429" s="19" t="s">
        <v>1344</v>
      </c>
      <c r="R429" s="19"/>
      <c r="S429" s="14" t="str">
        <f aca="true">IF(AND(O429&lt;TODAY(),P429&lt;&gt;"Approved",P429&lt;&gt;"Live",P429&lt;&gt;"Not applicable"),"Overdue","")</f>
        <v/>
      </c>
      <c r="T429" s="14" t="str">
        <f aca="true">IF(S429="Overdue",TODAY()-O429,"")</f>
        <v/>
      </c>
    </row>
    <row r="430" customFormat="false" ht="15" hidden="false" customHeight="false" outlineLevel="0" collapsed="false">
      <c r="A430" s="14" t="s">
        <v>1345</v>
      </c>
      <c r="B430" s="15" t="s">
        <v>1346</v>
      </c>
      <c r="C430" s="14" t="s">
        <v>54</v>
      </c>
      <c r="D430" s="14" t="s">
        <v>126</v>
      </c>
      <c r="E430" s="14" t="s">
        <v>1326</v>
      </c>
      <c r="F430" s="15" t="s">
        <v>49</v>
      </c>
      <c r="G430" s="14" t="s">
        <v>43</v>
      </c>
      <c r="H430" s="16" t="n">
        <v>46622</v>
      </c>
      <c r="I430" s="16" t="n">
        <v>46626</v>
      </c>
      <c r="J430" s="16" t="n">
        <v>46640</v>
      </c>
      <c r="K430" s="16" t="n">
        <v>46647</v>
      </c>
      <c r="L430" s="16" t="n">
        <v>46654</v>
      </c>
      <c r="M430" s="16" t="n">
        <v>46661</v>
      </c>
      <c r="N430" s="17"/>
      <c r="O430" s="16" t="n">
        <f aca="false">IF(N430&lt;&gt;"",N430,M430)</f>
        <v>46661</v>
      </c>
      <c r="P430" s="18" t="s">
        <v>31</v>
      </c>
      <c r="Q430" s="19" t="s">
        <v>1347</v>
      </c>
      <c r="R430" s="19"/>
      <c r="S430" s="14" t="str">
        <f aca="true">IF(AND(O430&lt;TODAY(),P430&lt;&gt;"Approved",P430&lt;&gt;"Live",P430&lt;&gt;"Not applicable"),"Overdue","")</f>
        <v/>
      </c>
      <c r="T430" s="14" t="str">
        <f aca="true">IF(S430="Overdue",TODAY()-O430,"")</f>
        <v/>
      </c>
    </row>
    <row r="431" customFormat="false" ht="15" hidden="false" customHeight="false" outlineLevel="0" collapsed="false">
      <c r="A431" s="14" t="s">
        <v>1348</v>
      </c>
      <c r="B431" s="15" t="s">
        <v>1349</v>
      </c>
      <c r="C431" s="14" t="s">
        <v>54</v>
      </c>
      <c r="D431" s="14" t="s">
        <v>126</v>
      </c>
      <c r="E431" s="14" t="s">
        <v>1326</v>
      </c>
      <c r="F431" s="15" t="s">
        <v>49</v>
      </c>
      <c r="G431" s="14" t="s">
        <v>43</v>
      </c>
      <c r="H431" s="16" t="n">
        <v>46622</v>
      </c>
      <c r="I431" s="16" t="n">
        <v>46626</v>
      </c>
      <c r="J431" s="16" t="n">
        <v>46640</v>
      </c>
      <c r="K431" s="16" t="n">
        <v>46647</v>
      </c>
      <c r="L431" s="16" t="n">
        <v>46654</v>
      </c>
      <c r="M431" s="16" t="n">
        <v>46661</v>
      </c>
      <c r="N431" s="17"/>
      <c r="O431" s="16" t="n">
        <f aca="false">IF(N431&lt;&gt;"",N431,M431)</f>
        <v>46661</v>
      </c>
      <c r="P431" s="18" t="s">
        <v>31</v>
      </c>
      <c r="Q431" s="19" t="s">
        <v>47</v>
      </c>
      <c r="R431" s="19"/>
      <c r="S431" s="14" t="str">
        <f aca="true">IF(AND(O431&lt;TODAY(),P431&lt;&gt;"Approved",P431&lt;&gt;"Live",P431&lt;&gt;"Not applicable"),"Overdue","")</f>
        <v/>
      </c>
      <c r="T431" s="14" t="str">
        <f aca="true">IF(S431="Overdue",TODAY()-O431,"")</f>
        <v/>
      </c>
    </row>
    <row r="432" customFormat="false" ht="23.85" hidden="false" customHeight="false" outlineLevel="0" collapsed="false">
      <c r="A432" s="14" t="s">
        <v>1350</v>
      </c>
      <c r="B432" s="15" t="s">
        <v>1351</v>
      </c>
      <c r="C432" s="14" t="s">
        <v>54</v>
      </c>
      <c r="D432" s="14" t="s">
        <v>275</v>
      </c>
      <c r="E432" s="14" t="s">
        <v>1326</v>
      </c>
      <c r="F432" s="15" t="s">
        <v>50</v>
      </c>
      <c r="G432" s="14" t="s">
        <v>43</v>
      </c>
      <c r="H432" s="16" t="n">
        <v>46622</v>
      </c>
      <c r="I432" s="16" t="n">
        <v>46626</v>
      </c>
      <c r="J432" s="16" t="n">
        <v>46640</v>
      </c>
      <c r="K432" s="16" t="n">
        <v>46647</v>
      </c>
      <c r="L432" s="16" t="n">
        <v>46654</v>
      </c>
      <c r="M432" s="16" t="n">
        <v>46661</v>
      </c>
      <c r="N432" s="17"/>
      <c r="O432" s="16" t="n">
        <f aca="false">IF(N432&lt;&gt;"",N432,M432)</f>
        <v>46661</v>
      </c>
      <c r="P432" s="18" t="s">
        <v>31</v>
      </c>
      <c r="Q432" s="19" t="s">
        <v>1352</v>
      </c>
      <c r="R432" s="19"/>
      <c r="S432" s="14" t="str">
        <f aca="true">IF(AND(O432&lt;TODAY(),P432&lt;&gt;"Approved",P432&lt;&gt;"Live",P432&lt;&gt;"Not applicable"),"Overdue","")</f>
        <v/>
      </c>
      <c r="T432" s="14" t="str">
        <f aca="true">IF(S432="Overdue",TODAY()-O432,"")</f>
        <v/>
      </c>
    </row>
    <row r="433" customFormat="false" ht="23.85" hidden="false" customHeight="false" outlineLevel="0" collapsed="false">
      <c r="A433" s="14" t="s">
        <v>1353</v>
      </c>
      <c r="B433" s="15" t="s">
        <v>1354</v>
      </c>
      <c r="C433" s="14" t="s">
        <v>54</v>
      </c>
      <c r="D433" s="14" t="s">
        <v>190</v>
      </c>
      <c r="E433" s="14" t="s">
        <v>1326</v>
      </c>
      <c r="F433" s="15" t="s">
        <v>48</v>
      </c>
      <c r="G433" s="14" t="s">
        <v>43</v>
      </c>
      <c r="H433" s="16" t="n">
        <v>46622</v>
      </c>
      <c r="I433" s="16" t="n">
        <v>46626</v>
      </c>
      <c r="J433" s="16" t="n">
        <v>46640</v>
      </c>
      <c r="K433" s="16" t="n">
        <v>46647</v>
      </c>
      <c r="L433" s="16" t="n">
        <v>46654</v>
      </c>
      <c r="M433" s="16" t="n">
        <v>46661</v>
      </c>
      <c r="N433" s="17"/>
      <c r="O433" s="16" t="n">
        <f aca="false">IF(N433&lt;&gt;"",N433,M433)</f>
        <v>46661</v>
      </c>
      <c r="P433" s="18" t="s">
        <v>31</v>
      </c>
      <c r="Q433" s="19" t="s">
        <v>1355</v>
      </c>
      <c r="R433" s="19"/>
      <c r="S433" s="14" t="str">
        <f aca="true">IF(AND(O433&lt;TODAY(),P433&lt;&gt;"Approved",P433&lt;&gt;"Live",P433&lt;&gt;"Not applicable"),"Overdue","")</f>
        <v/>
      </c>
      <c r="T433" s="14" t="str">
        <f aca="true">IF(S433="Overdue",TODAY()-O433,"")</f>
        <v/>
      </c>
    </row>
    <row r="434" customFormat="false" ht="23.85" hidden="false" customHeight="false" outlineLevel="0" collapsed="false">
      <c r="A434" s="14" t="s">
        <v>1356</v>
      </c>
      <c r="B434" s="15" t="s">
        <v>1357</v>
      </c>
      <c r="C434" s="14" t="s">
        <v>62</v>
      </c>
      <c r="D434" s="14" t="s">
        <v>101</v>
      </c>
      <c r="E434" s="14" t="s">
        <v>1326</v>
      </c>
      <c r="F434" s="15" t="s">
        <v>46</v>
      </c>
      <c r="G434" s="14" t="s">
        <v>43</v>
      </c>
      <c r="H434" s="16" t="n">
        <v>46622</v>
      </c>
      <c r="I434" s="16" t="n">
        <v>46626</v>
      </c>
      <c r="J434" s="16" t="n">
        <v>46640</v>
      </c>
      <c r="K434" s="16" t="n">
        <v>46647</v>
      </c>
      <c r="L434" s="16" t="n">
        <v>46654</v>
      </c>
      <c r="M434" s="16" t="n">
        <v>46661</v>
      </c>
      <c r="N434" s="17"/>
      <c r="O434" s="16" t="n">
        <f aca="false">IF(N434&lt;&gt;"",N434,M434)</f>
        <v>46661</v>
      </c>
      <c r="P434" s="18" t="s">
        <v>31</v>
      </c>
      <c r="Q434" s="19" t="s">
        <v>1358</v>
      </c>
      <c r="R434" s="19"/>
      <c r="S434" s="14" t="str">
        <f aca="true">IF(AND(O434&lt;TODAY(),P434&lt;&gt;"Approved",P434&lt;&gt;"Live",P434&lt;&gt;"Not applicable"),"Overdue","")</f>
        <v/>
      </c>
      <c r="T434" s="14" t="str">
        <f aca="true">IF(S434="Overdue",TODAY()-O434,"")</f>
        <v/>
      </c>
    </row>
    <row r="435" customFormat="false" ht="15" hidden="false" customHeight="false" outlineLevel="0" collapsed="false">
      <c r="A435" s="14" t="s">
        <v>1359</v>
      </c>
      <c r="B435" s="15" t="s">
        <v>1360</v>
      </c>
      <c r="C435" s="14" t="s">
        <v>54</v>
      </c>
      <c r="D435" s="14" t="s">
        <v>275</v>
      </c>
      <c r="E435" s="14" t="s">
        <v>1326</v>
      </c>
      <c r="F435" s="15" t="s">
        <v>50</v>
      </c>
      <c r="G435" s="14" t="s">
        <v>43</v>
      </c>
      <c r="H435" s="16" t="n">
        <v>46629</v>
      </c>
      <c r="I435" s="16" t="n">
        <v>46633</v>
      </c>
      <c r="J435" s="16" t="n">
        <v>46647</v>
      </c>
      <c r="K435" s="16" t="n">
        <v>46654</v>
      </c>
      <c r="L435" s="16" t="n">
        <v>46661</v>
      </c>
      <c r="M435" s="16" t="n">
        <v>46668</v>
      </c>
      <c r="N435" s="17"/>
      <c r="O435" s="16" t="n">
        <f aca="false">IF(N435&lt;&gt;"",N435,M435)</f>
        <v>46668</v>
      </c>
      <c r="P435" s="18" t="s">
        <v>31</v>
      </c>
      <c r="Q435" s="19" t="s">
        <v>1361</v>
      </c>
      <c r="R435" s="19"/>
      <c r="S435" s="14" t="str">
        <f aca="true">IF(AND(O435&lt;TODAY(),P435&lt;&gt;"Approved",P435&lt;&gt;"Live",P435&lt;&gt;"Not applicable"),"Overdue","")</f>
        <v/>
      </c>
      <c r="T435" s="14" t="str">
        <f aca="true">IF(S435="Overdue",TODAY()-O435,"")</f>
        <v/>
      </c>
    </row>
    <row r="436" customFormat="false" ht="15" hidden="false" customHeight="false" outlineLevel="0" collapsed="false">
      <c r="A436" s="14" t="s">
        <v>1362</v>
      </c>
      <c r="B436" s="15" t="s">
        <v>1363</v>
      </c>
      <c r="C436" s="14" t="s">
        <v>54</v>
      </c>
      <c r="D436" s="14" t="s">
        <v>190</v>
      </c>
      <c r="E436" s="14" t="s">
        <v>1326</v>
      </c>
      <c r="F436" s="15" t="s">
        <v>48</v>
      </c>
      <c r="G436" s="14" t="s">
        <v>43</v>
      </c>
      <c r="H436" s="16" t="n">
        <v>46629</v>
      </c>
      <c r="I436" s="16" t="n">
        <v>46633</v>
      </c>
      <c r="J436" s="16" t="n">
        <v>46647</v>
      </c>
      <c r="K436" s="16" t="n">
        <v>46654</v>
      </c>
      <c r="L436" s="16" t="n">
        <v>46661</v>
      </c>
      <c r="M436" s="16" t="n">
        <v>46668</v>
      </c>
      <c r="N436" s="17"/>
      <c r="O436" s="16" t="n">
        <f aca="false">IF(N436&lt;&gt;"",N436,M436)</f>
        <v>46668</v>
      </c>
      <c r="P436" s="18" t="s">
        <v>31</v>
      </c>
      <c r="Q436" s="19" t="s">
        <v>1364</v>
      </c>
      <c r="R436" s="19"/>
      <c r="S436" s="14" t="str">
        <f aca="true">IF(AND(O436&lt;TODAY(),P436&lt;&gt;"Approved",P436&lt;&gt;"Live",P436&lt;&gt;"Not applicable"),"Overdue","")</f>
        <v/>
      </c>
      <c r="T436" s="14" t="str">
        <f aca="true">IF(S436="Overdue",TODAY()-O436,"")</f>
        <v/>
      </c>
    </row>
    <row r="437" customFormat="false" ht="23.85" hidden="false" customHeight="false" outlineLevel="0" collapsed="false">
      <c r="A437" s="14" t="s">
        <v>1365</v>
      </c>
      <c r="B437" s="15" t="s">
        <v>1366</v>
      </c>
      <c r="C437" s="14" t="s">
        <v>57</v>
      </c>
      <c r="D437" s="14" t="s">
        <v>101</v>
      </c>
      <c r="E437" s="14" t="s">
        <v>1326</v>
      </c>
      <c r="F437" s="15" t="s">
        <v>46</v>
      </c>
      <c r="G437" s="14" t="s">
        <v>43</v>
      </c>
      <c r="H437" s="16" t="n">
        <v>46629</v>
      </c>
      <c r="I437" s="16" t="n">
        <v>46633</v>
      </c>
      <c r="J437" s="16" t="n">
        <v>46647</v>
      </c>
      <c r="K437" s="16" t="n">
        <v>46654</v>
      </c>
      <c r="L437" s="16" t="n">
        <v>46661</v>
      </c>
      <c r="M437" s="16" t="n">
        <v>46668</v>
      </c>
      <c r="N437" s="17"/>
      <c r="O437" s="16" t="n">
        <f aca="false">IF(N437&lt;&gt;"",N437,M437)</f>
        <v>46668</v>
      </c>
      <c r="P437" s="18" t="s">
        <v>31</v>
      </c>
      <c r="Q437" s="19" t="s">
        <v>1367</v>
      </c>
      <c r="R437" s="19"/>
      <c r="S437" s="14" t="str">
        <f aca="true">IF(AND(O437&lt;TODAY(),P437&lt;&gt;"Approved",P437&lt;&gt;"Live",P437&lt;&gt;"Not applicable"),"Overdue","")</f>
        <v/>
      </c>
      <c r="T437" s="14" t="str">
        <f aca="true">IF(S437="Overdue",TODAY()-O437,"")</f>
        <v/>
      </c>
    </row>
    <row r="438" customFormat="false" ht="23.85" hidden="false" customHeight="false" outlineLevel="0" collapsed="false">
      <c r="A438" s="14" t="s">
        <v>1368</v>
      </c>
      <c r="B438" s="15" t="s">
        <v>1369</v>
      </c>
      <c r="C438" s="14" t="s">
        <v>58</v>
      </c>
      <c r="D438" s="14" t="s">
        <v>203</v>
      </c>
      <c r="E438" s="14" t="s">
        <v>1326</v>
      </c>
      <c r="F438" s="15" t="s">
        <v>49</v>
      </c>
      <c r="G438" s="14" t="s">
        <v>43</v>
      </c>
      <c r="H438" s="16" t="n">
        <v>46629</v>
      </c>
      <c r="I438" s="16" t="n">
        <v>46633</v>
      </c>
      <c r="J438" s="16" t="n">
        <v>46647</v>
      </c>
      <c r="K438" s="16" t="n">
        <v>46654</v>
      </c>
      <c r="L438" s="16" t="n">
        <v>46661</v>
      </c>
      <c r="M438" s="16" t="n">
        <v>46668</v>
      </c>
      <c r="N438" s="17"/>
      <c r="O438" s="16" t="n">
        <f aca="false">IF(N438&lt;&gt;"",N438,M438)</f>
        <v>46668</v>
      </c>
      <c r="P438" s="18" t="s">
        <v>31</v>
      </c>
      <c r="Q438" s="19" t="s">
        <v>1370</v>
      </c>
      <c r="R438" s="19"/>
      <c r="S438" s="14" t="str">
        <f aca="true">IF(AND(O438&lt;TODAY(),P438&lt;&gt;"Approved",P438&lt;&gt;"Live",P438&lt;&gt;"Not applicable"),"Overdue","")</f>
        <v/>
      </c>
      <c r="T438" s="14" t="str">
        <f aca="true">IF(S438="Overdue",TODAY()-O438,"")</f>
        <v/>
      </c>
    </row>
    <row r="439" customFormat="false" ht="23.85" hidden="false" customHeight="false" outlineLevel="0" collapsed="false">
      <c r="A439" s="14" t="s">
        <v>1371</v>
      </c>
      <c r="B439" s="15" t="s">
        <v>1372</v>
      </c>
      <c r="C439" s="14" t="s">
        <v>58</v>
      </c>
      <c r="D439" s="14" t="s">
        <v>190</v>
      </c>
      <c r="E439" s="14" t="s">
        <v>1326</v>
      </c>
      <c r="F439" s="15" t="s">
        <v>48</v>
      </c>
      <c r="G439" s="14" t="s">
        <v>43</v>
      </c>
      <c r="H439" s="16" t="n">
        <v>46629</v>
      </c>
      <c r="I439" s="16" t="n">
        <v>46633</v>
      </c>
      <c r="J439" s="16" t="n">
        <v>46647</v>
      </c>
      <c r="K439" s="16" t="n">
        <v>46654</v>
      </c>
      <c r="L439" s="16" t="n">
        <v>46661</v>
      </c>
      <c r="M439" s="16" t="n">
        <v>46668</v>
      </c>
      <c r="N439" s="17"/>
      <c r="O439" s="16" t="n">
        <f aca="false">IF(N439&lt;&gt;"",N439,M439)</f>
        <v>46668</v>
      </c>
      <c r="P439" s="18" t="s">
        <v>31</v>
      </c>
      <c r="Q439" s="19" t="s">
        <v>1373</v>
      </c>
      <c r="R439" s="19"/>
      <c r="S439" s="14" t="str">
        <f aca="true">IF(AND(O439&lt;TODAY(),P439&lt;&gt;"Approved",P439&lt;&gt;"Live",P439&lt;&gt;"Not applicable"),"Overdue","")</f>
        <v/>
      </c>
      <c r="T439" s="14" t="str">
        <f aca="true">IF(S439="Overdue",TODAY()-O439,"")</f>
        <v/>
      </c>
    </row>
  </sheetData>
  <autoFilter ref="A1:T439"/>
  <conditionalFormatting sqref="A2:T439">
    <cfRule type="expression" priority="2" aboveAverage="0" equalAverage="0" bottom="0" percent="0" rank="0" text="" dxfId="4">
      <formula>$S2="Overdue"</formula>
    </cfRule>
  </conditionalFormatting>
  <conditionalFormatting sqref="P2:P439">
    <cfRule type="cellIs" priority="3" operator="equal" aboveAverage="0" equalAverage="0" bottom="0" percent="0" rank="0" text="" dxfId="5">
      <formula>"Live"</formula>
    </cfRule>
    <cfRule type="cellIs" priority="4" operator="equal" aboveAverage="0" equalAverage="0" bottom="0" percent="0" rank="0" text="" dxfId="6">
      <formula>"Approved"</formula>
    </cfRule>
    <cfRule type="cellIs" priority="5" operator="equal" aboveAverage="0" equalAverage="0" bottom="0" percent="0" rank="0" text="" dxfId="7">
      <formula>"In review"</formula>
    </cfRule>
    <cfRule type="cellIs" priority="6" operator="equal" aboveAverage="0" equalAverage="0" bottom="0" percent="0" rank="0" text="" dxfId="8">
      <formula>"Drafting"</formula>
    </cfRule>
  </conditionalFormatting>
  <dataValidations count="2">
    <dataValidation allowBlank="false" errorStyle="stop" operator="between" showDropDown="false" showErrorMessage="false" showInputMessage="false" sqref="P2:P439" type="list">
      <formula1>"Not started,Drafting,In review,Approved,Live,Not applicable"</formula1>
      <formula2>0</formula2>
    </dataValidation>
    <dataValidation allowBlank="true" errorStyle="stop" operator="greaterThan" showDropDown="false" showErrorMessage="false" showInputMessage="false" sqref="N2:N439" type="date">
      <formula1>DATE(2026,1,1)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3" min="3" style="0" width="40"/>
    <col collapsed="false" customWidth="true" hidden="false" outlineLevel="0" max="4" min="4" style="0" width="7"/>
    <col collapsed="false" customWidth="true" hidden="false" outlineLevel="0" max="5" min="5" style="0" width="12"/>
    <col collapsed="false" customWidth="true" hidden="false" outlineLevel="0" max="6" min="6" style="0" width="80"/>
  </cols>
  <sheetData>
    <row r="1" customFormat="false" ht="30" hidden="false" customHeight="true" outlineLevel="0" collapsed="false">
      <c r="A1" s="12" t="s">
        <v>63</v>
      </c>
      <c r="B1" s="12" t="s">
        <v>1374</v>
      </c>
      <c r="C1" s="12" t="s">
        <v>1375</v>
      </c>
      <c r="D1" s="12" t="s">
        <v>30</v>
      </c>
      <c r="E1" s="12" t="s">
        <v>53</v>
      </c>
      <c r="F1" s="12" t="s">
        <v>1376</v>
      </c>
    </row>
    <row r="2" customFormat="false" ht="15" hidden="false" customHeight="false" outlineLevel="0" collapsed="false">
      <c r="A2" s="14" t="s">
        <v>1377</v>
      </c>
      <c r="B2" s="16" t="n">
        <v>46307</v>
      </c>
      <c r="C2" s="15" t="s">
        <v>1378</v>
      </c>
      <c r="D2" s="14" t="s">
        <v>1379</v>
      </c>
      <c r="E2" s="14" t="s">
        <v>1380</v>
      </c>
      <c r="F2" s="15" t="s">
        <v>1381</v>
      </c>
    </row>
    <row r="3" customFormat="false" ht="15" hidden="false" customHeight="false" outlineLevel="0" collapsed="false">
      <c r="A3" s="14" t="s">
        <v>1382</v>
      </c>
      <c r="B3" s="16" t="n">
        <v>46318</v>
      </c>
      <c r="C3" s="15" t="s">
        <v>1383</v>
      </c>
      <c r="D3" s="14" t="s">
        <v>1379</v>
      </c>
      <c r="E3" s="14" t="s">
        <v>1384</v>
      </c>
      <c r="F3" s="15" t="s">
        <v>1385</v>
      </c>
    </row>
    <row r="4" customFormat="false" ht="15" hidden="false" customHeight="false" outlineLevel="0" collapsed="false">
      <c r="A4" s="14" t="s">
        <v>1386</v>
      </c>
      <c r="B4" s="16" t="n">
        <v>46325</v>
      </c>
      <c r="C4" s="15" t="s">
        <v>1387</v>
      </c>
      <c r="D4" s="14" t="s">
        <v>1379</v>
      </c>
      <c r="E4" s="14" t="s">
        <v>1388</v>
      </c>
      <c r="F4" s="15" t="s">
        <v>1389</v>
      </c>
    </row>
    <row r="5" customFormat="false" ht="15" hidden="false" customHeight="false" outlineLevel="0" collapsed="false">
      <c r="A5" s="14" t="s">
        <v>1390</v>
      </c>
      <c r="B5" s="16" t="n">
        <v>46332</v>
      </c>
      <c r="C5" s="15" t="s">
        <v>1391</v>
      </c>
      <c r="D5" s="14" t="s">
        <v>1379</v>
      </c>
      <c r="E5" s="14" t="s">
        <v>1384</v>
      </c>
      <c r="F5" s="15" t="s">
        <v>1392</v>
      </c>
    </row>
    <row r="6" customFormat="false" ht="15" hidden="false" customHeight="false" outlineLevel="0" collapsed="false">
      <c r="A6" s="14" t="s">
        <v>1393</v>
      </c>
      <c r="B6" s="16" t="n">
        <v>46335</v>
      </c>
      <c r="C6" s="15" t="s">
        <v>1394</v>
      </c>
      <c r="D6" s="14" t="s">
        <v>1395</v>
      </c>
      <c r="E6" s="14" t="s">
        <v>1380</v>
      </c>
      <c r="F6" s="15" t="s">
        <v>1396</v>
      </c>
    </row>
    <row r="7" customFormat="false" ht="15" hidden="false" customHeight="false" outlineLevel="0" collapsed="false">
      <c r="A7" s="14" t="s">
        <v>1397</v>
      </c>
      <c r="B7" s="16" t="n">
        <v>46374</v>
      </c>
      <c r="C7" s="15" t="s">
        <v>1398</v>
      </c>
      <c r="D7" s="14" t="s">
        <v>1395</v>
      </c>
      <c r="E7" s="14" t="s">
        <v>1388</v>
      </c>
      <c r="F7" s="15" t="s">
        <v>1399</v>
      </c>
    </row>
    <row r="8" customFormat="false" ht="15" hidden="false" customHeight="false" outlineLevel="0" collapsed="false">
      <c r="A8" s="14" t="s">
        <v>1400</v>
      </c>
      <c r="B8" s="16" t="n">
        <v>46416</v>
      </c>
      <c r="C8" s="15" t="s">
        <v>1401</v>
      </c>
      <c r="D8" s="14" t="s">
        <v>1395</v>
      </c>
      <c r="E8" s="14" t="s">
        <v>1384</v>
      </c>
      <c r="F8" s="15" t="s">
        <v>1402</v>
      </c>
    </row>
    <row r="9" customFormat="false" ht="15" hidden="false" customHeight="false" outlineLevel="0" collapsed="false">
      <c r="A9" s="14" t="s">
        <v>1403</v>
      </c>
      <c r="B9" s="16" t="n">
        <v>46430</v>
      </c>
      <c r="C9" s="15" t="s">
        <v>1404</v>
      </c>
      <c r="D9" s="14" t="s">
        <v>1395</v>
      </c>
      <c r="E9" s="14" t="s">
        <v>1384</v>
      </c>
      <c r="F9" s="15" t="s">
        <v>1405</v>
      </c>
    </row>
    <row r="10" customFormat="false" ht="15" hidden="false" customHeight="false" outlineLevel="0" collapsed="false">
      <c r="A10" s="14" t="s">
        <v>1406</v>
      </c>
      <c r="B10" s="16" t="n">
        <v>46433</v>
      </c>
      <c r="C10" s="15" t="s">
        <v>1407</v>
      </c>
      <c r="D10" s="14" t="s">
        <v>1408</v>
      </c>
      <c r="E10" s="14" t="s">
        <v>1380</v>
      </c>
      <c r="F10" s="15" t="s">
        <v>1409</v>
      </c>
    </row>
    <row r="11" customFormat="false" ht="15" hidden="false" customHeight="false" outlineLevel="0" collapsed="false">
      <c r="A11" s="14" t="s">
        <v>1410</v>
      </c>
      <c r="B11" s="16" t="n">
        <v>46486</v>
      </c>
      <c r="C11" s="15" t="s">
        <v>1411</v>
      </c>
      <c r="D11" s="14" t="s">
        <v>1408</v>
      </c>
      <c r="E11" s="14" t="s">
        <v>1388</v>
      </c>
      <c r="F11" s="15" t="s">
        <v>1412</v>
      </c>
    </row>
    <row r="12" customFormat="false" ht="15" hidden="false" customHeight="false" outlineLevel="0" collapsed="false">
      <c r="A12" s="14" t="s">
        <v>1413</v>
      </c>
      <c r="B12" s="16" t="n">
        <v>46521</v>
      </c>
      <c r="C12" s="15" t="s">
        <v>1414</v>
      </c>
      <c r="D12" s="14" t="s">
        <v>1408</v>
      </c>
      <c r="E12" s="14" t="s">
        <v>1384</v>
      </c>
      <c r="F12" s="15" t="s">
        <v>1415</v>
      </c>
    </row>
    <row r="13" customFormat="false" ht="15" hidden="false" customHeight="false" outlineLevel="0" collapsed="false">
      <c r="A13" s="14" t="s">
        <v>1416</v>
      </c>
      <c r="B13" s="16" t="n">
        <v>46524</v>
      </c>
      <c r="C13" s="15" t="s">
        <v>1417</v>
      </c>
      <c r="D13" s="14" t="s">
        <v>1418</v>
      </c>
      <c r="E13" s="14" t="s">
        <v>1380</v>
      </c>
      <c r="F13" s="15" t="s">
        <v>1419</v>
      </c>
    </row>
    <row r="14" customFormat="false" ht="15" hidden="false" customHeight="false" outlineLevel="0" collapsed="false">
      <c r="A14" s="14" t="s">
        <v>1420</v>
      </c>
      <c r="B14" s="16" t="n">
        <v>46577</v>
      </c>
      <c r="C14" s="15" t="s">
        <v>1421</v>
      </c>
      <c r="D14" s="14" t="s">
        <v>1418</v>
      </c>
      <c r="E14" s="14" t="s">
        <v>1388</v>
      </c>
      <c r="F14" s="15" t="s">
        <v>1422</v>
      </c>
    </row>
    <row r="15" customFormat="false" ht="15" hidden="false" customHeight="false" outlineLevel="0" collapsed="false">
      <c r="A15" s="14" t="s">
        <v>1423</v>
      </c>
      <c r="B15" s="16" t="n">
        <v>46612</v>
      </c>
      <c r="C15" s="15" t="s">
        <v>1424</v>
      </c>
      <c r="D15" s="14" t="s">
        <v>1418</v>
      </c>
      <c r="E15" s="14" t="s">
        <v>1384</v>
      </c>
      <c r="F15" s="15" t="s">
        <v>1425</v>
      </c>
    </row>
    <row r="16" customFormat="false" ht="15" hidden="false" customHeight="false" outlineLevel="0" collapsed="false">
      <c r="A16" s="14" t="s">
        <v>1426</v>
      </c>
      <c r="B16" s="16" t="n">
        <v>46640</v>
      </c>
      <c r="C16" s="15" t="s">
        <v>1427</v>
      </c>
      <c r="D16" s="14" t="s">
        <v>1428</v>
      </c>
      <c r="E16" s="14" t="s">
        <v>1380</v>
      </c>
      <c r="F16" s="15" t="s">
        <v>1429</v>
      </c>
    </row>
    <row r="17" customFormat="false" ht="15" hidden="false" customHeight="false" outlineLevel="0" collapsed="false">
      <c r="A17" s="14" t="s">
        <v>1430</v>
      </c>
      <c r="B17" s="16" t="n">
        <v>46654</v>
      </c>
      <c r="C17" s="15" t="s">
        <v>1431</v>
      </c>
      <c r="D17" s="14" t="s">
        <v>1428</v>
      </c>
      <c r="E17" s="14" t="s">
        <v>1384</v>
      </c>
      <c r="F17" s="15" t="s">
        <v>1432</v>
      </c>
    </row>
    <row r="18" customFormat="false" ht="15" hidden="false" customHeight="false" outlineLevel="0" collapsed="false">
      <c r="A18" s="14" t="s">
        <v>1433</v>
      </c>
      <c r="B18" s="16" t="n">
        <v>46661</v>
      </c>
      <c r="C18" s="15" t="s">
        <v>1434</v>
      </c>
      <c r="D18" s="14" t="s">
        <v>1428</v>
      </c>
      <c r="E18" s="14" t="s">
        <v>1388</v>
      </c>
      <c r="F18" s="15" t="s">
        <v>1435</v>
      </c>
    </row>
    <row r="19" customFormat="false" ht="15" hidden="false" customHeight="false" outlineLevel="0" collapsed="false">
      <c r="A19" s="14" t="s">
        <v>1436</v>
      </c>
      <c r="B19" s="16" t="n">
        <v>46668</v>
      </c>
      <c r="C19" s="15" t="s">
        <v>1437</v>
      </c>
      <c r="D19" s="14" t="s">
        <v>1428</v>
      </c>
      <c r="E19" s="14" t="s">
        <v>1384</v>
      </c>
      <c r="F19" s="15" t="s">
        <v>1438</v>
      </c>
    </row>
  </sheetData>
  <autoFilter ref="A1:F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60"/>
    <col collapsed="false" customWidth="true" hidden="false" outlineLevel="0" max="4" min="4" style="0" width="11"/>
    <col collapsed="false" customWidth="true" hidden="false" outlineLevel="0" max="5" min="5" style="0" width="10"/>
    <col collapsed="false" customWidth="true" hidden="false" outlineLevel="0" max="6" min="6" style="0" width="8"/>
    <col collapsed="false" customWidth="true" hidden="false" outlineLevel="0" max="7" min="7" style="0" width="24"/>
    <col collapsed="false" customWidth="true" hidden="false" outlineLevel="0" max="8" min="8" style="0" width="60"/>
    <col collapsed="false" customWidth="true" hidden="false" outlineLevel="0" max="9" min="9" style="0" width="40"/>
    <col collapsed="false" customWidth="true" hidden="false" outlineLevel="0" max="10" min="10" style="0" width="11"/>
  </cols>
  <sheetData>
    <row r="1" customFormat="false" ht="30" hidden="false" customHeight="true" outlineLevel="0" collapsed="false">
      <c r="A1" s="12" t="s">
        <v>63</v>
      </c>
      <c r="B1" s="12" t="s">
        <v>1439</v>
      </c>
      <c r="C1" s="12" t="s">
        <v>1440</v>
      </c>
      <c r="D1" s="12" t="s">
        <v>1441</v>
      </c>
      <c r="E1" s="12" t="s">
        <v>1442</v>
      </c>
      <c r="F1" s="12" t="s">
        <v>1443</v>
      </c>
      <c r="G1" s="12" t="s">
        <v>76</v>
      </c>
      <c r="H1" s="12" t="s">
        <v>1444</v>
      </c>
      <c r="I1" s="12" t="s">
        <v>1445</v>
      </c>
      <c r="J1" s="12" t="s">
        <v>75</v>
      </c>
    </row>
    <row r="2" customFormat="false" ht="91" hidden="false" customHeight="false" outlineLevel="0" collapsed="false">
      <c r="A2" s="14" t="s">
        <v>1446</v>
      </c>
      <c r="B2" s="15" t="s">
        <v>1447</v>
      </c>
      <c r="C2" s="15" t="s">
        <v>1448</v>
      </c>
      <c r="D2" s="18" t="s">
        <v>1449</v>
      </c>
      <c r="E2" s="18" t="s">
        <v>1450</v>
      </c>
      <c r="F2" s="14" t="n">
        <f aca="false">(MATCH(D2,{"Low","Medium","High"},0))*(MATCH(E2,{"Low","Medium","High"},0))</f>
        <v>6</v>
      </c>
      <c r="G2" s="15" t="s">
        <v>1451</v>
      </c>
      <c r="H2" s="15" t="s">
        <v>1452</v>
      </c>
      <c r="I2" s="15" t="s">
        <v>1453</v>
      </c>
      <c r="J2" s="18" t="s">
        <v>1454</v>
      </c>
    </row>
    <row r="3" customFormat="false" ht="79.85" hidden="false" customHeight="false" outlineLevel="0" collapsed="false">
      <c r="A3" s="14" t="s">
        <v>1455</v>
      </c>
      <c r="B3" s="15" t="s">
        <v>1456</v>
      </c>
      <c r="C3" s="15" t="s">
        <v>1457</v>
      </c>
      <c r="D3" s="18" t="s">
        <v>1449</v>
      </c>
      <c r="E3" s="18" t="s">
        <v>1450</v>
      </c>
      <c r="F3" s="14" t="n">
        <f aca="false">(MATCH(D3,{"Low","Medium","High"},0))*(MATCH(E3,{"Low","Medium","High"},0))</f>
        <v>6</v>
      </c>
      <c r="G3" s="15" t="s">
        <v>1458</v>
      </c>
      <c r="H3" s="15" t="s">
        <v>1459</v>
      </c>
      <c r="I3" s="15" t="s">
        <v>1460</v>
      </c>
      <c r="J3" s="18" t="s">
        <v>1454</v>
      </c>
    </row>
    <row r="4" customFormat="false" ht="79.85" hidden="false" customHeight="false" outlineLevel="0" collapsed="false">
      <c r="A4" s="14" t="s">
        <v>1461</v>
      </c>
      <c r="B4" s="15" t="s">
        <v>1462</v>
      </c>
      <c r="C4" s="15" t="s">
        <v>1463</v>
      </c>
      <c r="D4" s="18" t="s">
        <v>1449</v>
      </c>
      <c r="E4" s="18" t="s">
        <v>1450</v>
      </c>
      <c r="F4" s="14" t="n">
        <f aca="false">(MATCH(D4,{"Low","Medium","High"},0))*(MATCH(E4,{"Low","Medium","High"},0))</f>
        <v>6</v>
      </c>
      <c r="G4" s="15" t="s">
        <v>1464</v>
      </c>
      <c r="H4" s="15" t="s">
        <v>1465</v>
      </c>
      <c r="I4" s="15" t="s">
        <v>1466</v>
      </c>
      <c r="J4" s="18" t="s">
        <v>1454</v>
      </c>
    </row>
    <row r="5" customFormat="false" ht="79.85" hidden="false" customHeight="false" outlineLevel="0" collapsed="false">
      <c r="A5" s="14" t="s">
        <v>1467</v>
      </c>
      <c r="B5" s="15" t="s">
        <v>1468</v>
      </c>
      <c r="C5" s="15" t="s">
        <v>1469</v>
      </c>
      <c r="D5" s="18" t="s">
        <v>1449</v>
      </c>
      <c r="E5" s="18" t="s">
        <v>1449</v>
      </c>
      <c r="F5" s="14" t="n">
        <f aca="false">(MATCH(D5,{"Low","Medium","High"},0))*(MATCH(E5,{"Low","Medium","High"},0))</f>
        <v>4</v>
      </c>
      <c r="G5" s="15" t="s">
        <v>1470</v>
      </c>
      <c r="H5" s="15" t="s">
        <v>1471</v>
      </c>
      <c r="I5" s="15" t="s">
        <v>1472</v>
      </c>
      <c r="J5" s="18" t="s">
        <v>1454</v>
      </c>
    </row>
    <row r="6" customFormat="false" ht="68.65" hidden="false" customHeight="false" outlineLevel="0" collapsed="false">
      <c r="A6" s="14" t="s">
        <v>1473</v>
      </c>
      <c r="B6" s="15" t="s">
        <v>1474</v>
      </c>
      <c r="C6" s="15" t="s">
        <v>1475</v>
      </c>
      <c r="D6" s="18" t="s">
        <v>1450</v>
      </c>
      <c r="E6" s="18" t="s">
        <v>1449</v>
      </c>
      <c r="F6" s="14" t="n">
        <f aca="false">(MATCH(D6,{"Low","Medium","High"},0))*(MATCH(E6,{"Low","Medium","High"},0))</f>
        <v>6</v>
      </c>
      <c r="G6" s="15" t="s">
        <v>1476</v>
      </c>
      <c r="H6" s="15" t="s">
        <v>1477</v>
      </c>
      <c r="I6" s="15" t="s">
        <v>1478</v>
      </c>
      <c r="J6" s="18" t="s">
        <v>1454</v>
      </c>
    </row>
    <row r="7" customFormat="false" ht="57.45" hidden="false" customHeight="false" outlineLevel="0" collapsed="false">
      <c r="A7" s="14" t="s">
        <v>1479</v>
      </c>
      <c r="B7" s="15" t="s">
        <v>1480</v>
      </c>
      <c r="C7" s="15" t="s">
        <v>1481</v>
      </c>
      <c r="D7" s="18" t="s">
        <v>1450</v>
      </c>
      <c r="E7" s="18" t="s">
        <v>1450</v>
      </c>
      <c r="F7" s="14" t="n">
        <f aca="false">(MATCH(D7,{"Low","Medium","High"},0))*(MATCH(E7,{"Low","Medium","High"},0))</f>
        <v>9</v>
      </c>
      <c r="G7" s="15" t="s">
        <v>1482</v>
      </c>
      <c r="H7" s="15" t="s">
        <v>1483</v>
      </c>
      <c r="I7" s="15" t="s">
        <v>1484</v>
      </c>
      <c r="J7" s="18" t="s">
        <v>1454</v>
      </c>
    </row>
    <row r="8" customFormat="false" ht="46.25" hidden="false" customHeight="false" outlineLevel="0" collapsed="false">
      <c r="A8" s="14" t="s">
        <v>1485</v>
      </c>
      <c r="B8" s="15" t="s">
        <v>1486</v>
      </c>
      <c r="C8" s="15" t="s">
        <v>1487</v>
      </c>
      <c r="D8" s="18" t="s">
        <v>1450</v>
      </c>
      <c r="E8" s="18" t="s">
        <v>1449</v>
      </c>
      <c r="F8" s="14" t="n">
        <f aca="false">(MATCH(D8,{"Low","Medium","High"},0))*(MATCH(E8,{"Low","Medium","High"},0))</f>
        <v>6</v>
      </c>
      <c r="G8" s="15" t="s">
        <v>1488</v>
      </c>
      <c r="H8" s="15" t="s">
        <v>1489</v>
      </c>
      <c r="I8" s="15" t="s">
        <v>1490</v>
      </c>
      <c r="J8" s="18" t="s">
        <v>1454</v>
      </c>
    </row>
    <row r="9" customFormat="false" ht="57.45" hidden="false" customHeight="false" outlineLevel="0" collapsed="false">
      <c r="A9" s="14" t="s">
        <v>1491</v>
      </c>
      <c r="B9" s="15" t="s">
        <v>1492</v>
      </c>
      <c r="C9" s="15" t="s">
        <v>1493</v>
      </c>
      <c r="D9" s="18" t="s">
        <v>1450</v>
      </c>
      <c r="E9" s="18" t="s">
        <v>1449</v>
      </c>
      <c r="F9" s="14" t="n">
        <f aca="false">(MATCH(D9,{"Low","Medium","High"},0))*(MATCH(E9,{"Low","Medium","High"},0))</f>
        <v>6</v>
      </c>
      <c r="G9" s="15" t="s">
        <v>1494</v>
      </c>
      <c r="H9" s="15" t="s">
        <v>1495</v>
      </c>
      <c r="I9" s="15" t="s">
        <v>1496</v>
      </c>
      <c r="J9" s="18" t="s">
        <v>1454</v>
      </c>
    </row>
    <row r="10" customFormat="false" ht="35.05" hidden="false" customHeight="false" outlineLevel="0" collapsed="false">
      <c r="A10" s="14" t="s">
        <v>1497</v>
      </c>
      <c r="B10" s="15" t="s">
        <v>1498</v>
      </c>
      <c r="C10" s="15" t="s">
        <v>1499</v>
      </c>
      <c r="D10" s="18" t="s">
        <v>1449</v>
      </c>
      <c r="E10" s="18" t="s">
        <v>1449</v>
      </c>
      <c r="F10" s="14" t="n">
        <f aca="false">(MATCH(D10,{"Low","Medium","High"},0))*(MATCH(E10,{"Low","Medium","High"},0))</f>
        <v>4</v>
      </c>
      <c r="G10" s="15" t="s">
        <v>1494</v>
      </c>
      <c r="H10" s="15" t="s">
        <v>1500</v>
      </c>
      <c r="I10" s="15" t="s">
        <v>1501</v>
      </c>
      <c r="J10" s="18" t="s">
        <v>1454</v>
      </c>
    </row>
    <row r="11" customFormat="false" ht="91" hidden="false" customHeight="false" outlineLevel="0" collapsed="false">
      <c r="A11" s="14" t="s">
        <v>1502</v>
      </c>
      <c r="B11" s="15" t="s">
        <v>1503</v>
      </c>
      <c r="C11" s="15" t="s">
        <v>1504</v>
      </c>
      <c r="D11" s="18" t="s">
        <v>1450</v>
      </c>
      <c r="E11" s="18" t="s">
        <v>1449</v>
      </c>
      <c r="F11" s="14" t="n">
        <f aca="false">(MATCH(D11,{"Low","Medium","High"},0))*(MATCH(E11,{"Low","Medium","High"},0))</f>
        <v>6</v>
      </c>
      <c r="G11" s="15" t="s">
        <v>1482</v>
      </c>
      <c r="H11" s="15" t="s">
        <v>1505</v>
      </c>
      <c r="I11" s="15" t="s">
        <v>1506</v>
      </c>
      <c r="J11" s="18" t="s">
        <v>1454</v>
      </c>
    </row>
    <row r="12" customFormat="false" ht="46.25" hidden="false" customHeight="false" outlineLevel="0" collapsed="false">
      <c r="A12" s="14" t="s">
        <v>1507</v>
      </c>
      <c r="B12" s="15" t="s">
        <v>1508</v>
      </c>
      <c r="C12" s="15" t="s">
        <v>1509</v>
      </c>
      <c r="D12" s="18" t="s">
        <v>1450</v>
      </c>
      <c r="E12" s="18" t="s">
        <v>1449</v>
      </c>
      <c r="F12" s="14" t="n">
        <f aca="false">(MATCH(D12,{"Low","Medium","High"},0))*(MATCH(E12,{"Low","Medium","High"},0))</f>
        <v>6</v>
      </c>
      <c r="G12" s="15" t="s">
        <v>1510</v>
      </c>
      <c r="H12" s="15" t="s">
        <v>1511</v>
      </c>
      <c r="I12" s="15" t="s">
        <v>1512</v>
      </c>
      <c r="J12" s="18" t="s">
        <v>1454</v>
      </c>
    </row>
    <row r="13" customFormat="false" ht="57.45" hidden="false" customHeight="false" outlineLevel="0" collapsed="false">
      <c r="A13" s="14" t="s">
        <v>1513</v>
      </c>
      <c r="B13" s="15" t="s">
        <v>1514</v>
      </c>
      <c r="C13" s="15" t="s">
        <v>1515</v>
      </c>
      <c r="D13" s="18" t="s">
        <v>1449</v>
      </c>
      <c r="E13" s="18" t="s">
        <v>1450</v>
      </c>
      <c r="F13" s="14" t="n">
        <f aca="false">(MATCH(D13,{"Low","Medium","High"},0))*(MATCH(E13,{"Low","Medium","High"},0))</f>
        <v>6</v>
      </c>
      <c r="G13" s="15" t="s">
        <v>1516</v>
      </c>
      <c r="H13" s="15" t="s">
        <v>1517</v>
      </c>
      <c r="I13" s="15" t="s">
        <v>1518</v>
      </c>
      <c r="J13" s="18" t="s">
        <v>1454</v>
      </c>
    </row>
    <row r="14" customFormat="false" ht="46.25" hidden="false" customHeight="false" outlineLevel="0" collapsed="false">
      <c r="A14" s="14" t="s">
        <v>1519</v>
      </c>
      <c r="B14" s="15" t="s">
        <v>1520</v>
      </c>
      <c r="C14" s="15" t="s">
        <v>1521</v>
      </c>
      <c r="D14" s="18" t="s">
        <v>1449</v>
      </c>
      <c r="E14" s="18" t="s">
        <v>1449</v>
      </c>
      <c r="F14" s="14" t="n">
        <f aca="false">(MATCH(D14,{"Low","Medium","High"},0))*(MATCH(E14,{"Low","Medium","High"},0))</f>
        <v>4</v>
      </c>
      <c r="G14" s="15" t="s">
        <v>1476</v>
      </c>
      <c r="H14" s="15" t="s">
        <v>1522</v>
      </c>
      <c r="I14" s="15" t="s">
        <v>1523</v>
      </c>
      <c r="J14" s="18" t="s">
        <v>1454</v>
      </c>
    </row>
    <row r="15" customFormat="false" ht="57.45" hidden="false" customHeight="false" outlineLevel="0" collapsed="false">
      <c r="A15" s="14" t="s">
        <v>1524</v>
      </c>
      <c r="B15" s="15" t="s">
        <v>1525</v>
      </c>
      <c r="C15" s="15" t="s">
        <v>1526</v>
      </c>
      <c r="D15" s="18" t="s">
        <v>1449</v>
      </c>
      <c r="E15" s="18" t="s">
        <v>1450</v>
      </c>
      <c r="F15" s="14" t="n">
        <f aca="false">(MATCH(D15,{"Low","Medium","High"},0))*(MATCH(E15,{"Low","Medium","High"},0))</f>
        <v>6</v>
      </c>
      <c r="G15" s="15" t="s">
        <v>1527</v>
      </c>
      <c r="H15" s="15" t="s">
        <v>1528</v>
      </c>
      <c r="I15" s="15" t="s">
        <v>1529</v>
      </c>
      <c r="J15" s="18" t="s">
        <v>1454</v>
      </c>
    </row>
    <row r="16" customFormat="false" ht="46.25" hidden="false" customHeight="false" outlineLevel="0" collapsed="false">
      <c r="A16" s="14" t="s">
        <v>1530</v>
      </c>
      <c r="B16" s="15" t="s">
        <v>1531</v>
      </c>
      <c r="C16" s="15" t="s">
        <v>1532</v>
      </c>
      <c r="D16" s="18" t="s">
        <v>1449</v>
      </c>
      <c r="E16" s="18" t="s">
        <v>1450</v>
      </c>
      <c r="F16" s="14" t="n">
        <f aca="false">(MATCH(D16,{"Low","Medium","High"},0))*(MATCH(E16,{"Low","Medium","High"},0))</f>
        <v>6</v>
      </c>
      <c r="G16" s="15" t="s">
        <v>1494</v>
      </c>
      <c r="H16" s="15" t="s">
        <v>1533</v>
      </c>
      <c r="I16" s="15" t="s">
        <v>1534</v>
      </c>
      <c r="J16" s="18" t="s">
        <v>1454</v>
      </c>
    </row>
    <row r="17" customFormat="false" ht="68.65" hidden="false" customHeight="false" outlineLevel="0" collapsed="false">
      <c r="A17" s="14" t="s">
        <v>1535</v>
      </c>
      <c r="B17" s="15" t="s">
        <v>1536</v>
      </c>
      <c r="C17" s="15" t="s">
        <v>1537</v>
      </c>
      <c r="D17" s="18" t="s">
        <v>1449</v>
      </c>
      <c r="E17" s="18" t="s">
        <v>1450</v>
      </c>
      <c r="F17" s="14" t="n">
        <f aca="false">(MATCH(D17,{"Low","Medium","High"},0))*(MATCH(E17,{"Low","Medium","High"},0))</f>
        <v>6</v>
      </c>
      <c r="G17" s="15" t="s">
        <v>1538</v>
      </c>
      <c r="H17" s="15" t="s">
        <v>1539</v>
      </c>
      <c r="I17" s="15" t="s">
        <v>1540</v>
      </c>
      <c r="J17" s="18" t="s">
        <v>1454</v>
      </c>
    </row>
    <row r="18" customFormat="false" ht="57.45" hidden="false" customHeight="false" outlineLevel="0" collapsed="false">
      <c r="A18" s="14" t="s">
        <v>1541</v>
      </c>
      <c r="B18" s="15" t="s">
        <v>1542</v>
      </c>
      <c r="C18" s="15" t="s">
        <v>1543</v>
      </c>
      <c r="D18" s="18" t="s">
        <v>1449</v>
      </c>
      <c r="E18" s="18" t="s">
        <v>1450</v>
      </c>
      <c r="F18" s="14" t="n">
        <f aca="false">(MATCH(D18,{"Low","Medium","High"},0))*(MATCH(E18,{"Low","Medium","High"},0))</f>
        <v>6</v>
      </c>
      <c r="G18" s="15" t="s">
        <v>1516</v>
      </c>
      <c r="H18" s="15" t="s">
        <v>1544</v>
      </c>
      <c r="I18" s="15" t="s">
        <v>1545</v>
      </c>
      <c r="J18" s="18" t="s">
        <v>1454</v>
      </c>
    </row>
    <row r="19" customFormat="false" ht="57.45" hidden="false" customHeight="false" outlineLevel="0" collapsed="false">
      <c r="A19" s="14" t="s">
        <v>1546</v>
      </c>
      <c r="B19" s="15" t="s">
        <v>1547</v>
      </c>
      <c r="C19" s="15" t="s">
        <v>1548</v>
      </c>
      <c r="D19" s="18" t="s">
        <v>1450</v>
      </c>
      <c r="E19" s="18" t="s">
        <v>1449</v>
      </c>
      <c r="F19" s="14" t="n">
        <f aca="false">(MATCH(D19,{"Low","Medium","High"},0))*(MATCH(E19,{"Low","Medium","High"},0))</f>
        <v>6</v>
      </c>
      <c r="G19" s="15" t="s">
        <v>1549</v>
      </c>
      <c r="H19" s="15" t="s">
        <v>1550</v>
      </c>
      <c r="I19" s="15" t="s">
        <v>1551</v>
      </c>
      <c r="J19" s="18" t="s">
        <v>1454</v>
      </c>
    </row>
    <row r="20" customFormat="false" ht="35.05" hidden="false" customHeight="false" outlineLevel="0" collapsed="false">
      <c r="A20" s="14" t="s">
        <v>1552</v>
      </c>
      <c r="B20" s="15" t="s">
        <v>1553</v>
      </c>
      <c r="C20" s="15" t="s">
        <v>1554</v>
      </c>
      <c r="D20" s="18" t="s">
        <v>1449</v>
      </c>
      <c r="E20" s="18" t="s">
        <v>1449</v>
      </c>
      <c r="F20" s="14" t="n">
        <f aca="false">(MATCH(D20,{"Low","Medium","High"},0))*(MATCH(E20,{"Low","Medium","High"},0))</f>
        <v>4</v>
      </c>
      <c r="G20" s="15" t="s">
        <v>1494</v>
      </c>
      <c r="H20" s="15" t="s">
        <v>1555</v>
      </c>
      <c r="I20" s="15" t="s">
        <v>1556</v>
      </c>
      <c r="J20" s="18" t="s">
        <v>1454</v>
      </c>
    </row>
    <row r="21" customFormat="false" ht="35.05" hidden="false" customHeight="false" outlineLevel="0" collapsed="false">
      <c r="A21" s="14" t="s">
        <v>1557</v>
      </c>
      <c r="B21" s="15" t="s">
        <v>1558</v>
      </c>
      <c r="C21" s="15" t="s">
        <v>1559</v>
      </c>
      <c r="D21" s="18" t="s">
        <v>1449</v>
      </c>
      <c r="E21" s="18" t="s">
        <v>1450</v>
      </c>
      <c r="F21" s="14" t="n">
        <f aca="false">(MATCH(D21,{"Low","Medium","High"},0))*(MATCH(E21,{"Low","Medium","High"},0))</f>
        <v>6</v>
      </c>
      <c r="G21" s="15" t="s">
        <v>1560</v>
      </c>
      <c r="H21" s="15" t="s">
        <v>1561</v>
      </c>
      <c r="I21" s="15" t="s">
        <v>1562</v>
      </c>
      <c r="J21" s="18" t="s">
        <v>1454</v>
      </c>
    </row>
    <row r="22" customFormat="false" ht="46.25" hidden="false" customHeight="false" outlineLevel="0" collapsed="false">
      <c r="A22" s="14" t="s">
        <v>1563</v>
      </c>
      <c r="B22" s="15" t="s">
        <v>1564</v>
      </c>
      <c r="C22" s="15" t="s">
        <v>1565</v>
      </c>
      <c r="D22" s="18" t="s">
        <v>1566</v>
      </c>
      <c r="E22" s="18" t="s">
        <v>1449</v>
      </c>
      <c r="F22" s="14" t="n">
        <f aca="false">(MATCH(D22,{"Low","Medium","High"},0))*(MATCH(E22,{"Low","Medium","High"},0))</f>
        <v>2</v>
      </c>
      <c r="G22" s="15" t="s">
        <v>1567</v>
      </c>
      <c r="H22" s="15" t="s">
        <v>1568</v>
      </c>
      <c r="I22" s="15" t="s">
        <v>1569</v>
      </c>
      <c r="J22" s="18" t="s">
        <v>1454</v>
      </c>
    </row>
    <row r="23" customFormat="false" ht="57.45" hidden="false" customHeight="false" outlineLevel="0" collapsed="false">
      <c r="A23" s="14" t="s">
        <v>1570</v>
      </c>
      <c r="B23" s="15" t="s">
        <v>1571</v>
      </c>
      <c r="C23" s="15" t="s">
        <v>1572</v>
      </c>
      <c r="D23" s="18" t="s">
        <v>1449</v>
      </c>
      <c r="E23" s="18" t="s">
        <v>1449</v>
      </c>
      <c r="F23" s="14" t="n">
        <f aca="false">(MATCH(D23,{"Low","Medium","High"},0))*(MATCH(E23,{"Low","Medium","High"},0))</f>
        <v>4</v>
      </c>
      <c r="G23" s="15" t="s">
        <v>1482</v>
      </c>
      <c r="H23" s="15" t="s">
        <v>1573</v>
      </c>
      <c r="I23" s="15" t="s">
        <v>1574</v>
      </c>
      <c r="J23" s="18" t="s">
        <v>1454</v>
      </c>
    </row>
    <row r="24" customFormat="false" ht="35.05" hidden="false" customHeight="false" outlineLevel="0" collapsed="false">
      <c r="A24" s="14" t="s">
        <v>1575</v>
      </c>
      <c r="B24" s="15" t="s">
        <v>1576</v>
      </c>
      <c r="C24" s="15" t="s">
        <v>1577</v>
      </c>
      <c r="D24" s="18" t="s">
        <v>1449</v>
      </c>
      <c r="E24" s="18" t="s">
        <v>1449</v>
      </c>
      <c r="F24" s="14" t="n">
        <f aca="false">(MATCH(D24,{"Low","Medium","High"},0))*(MATCH(E24,{"Low","Medium","High"},0))</f>
        <v>4</v>
      </c>
      <c r="G24" s="15" t="s">
        <v>1494</v>
      </c>
      <c r="H24" s="15" t="s">
        <v>1578</v>
      </c>
      <c r="I24" s="15" t="s">
        <v>1579</v>
      </c>
      <c r="J24" s="18" t="s">
        <v>1454</v>
      </c>
    </row>
    <row r="26" customFormat="false" ht="15" hidden="false" customHeight="false" outlineLevel="0" collapsed="false">
      <c r="A26" s="20" t="s">
        <v>1580</v>
      </c>
    </row>
  </sheetData>
  <autoFilter ref="A1:J24"/>
  <conditionalFormatting sqref="F2:F24">
    <cfRule type="cellIs" priority="2" operator="greaterThanOrEqual" aboveAverage="0" equalAverage="0" bottom="0" percent="0" rank="0" text="" dxfId="10">
      <formula>6</formula>
    </cfRule>
  </conditionalFormatting>
  <dataValidations count="2">
    <dataValidation allowBlank="false" errorStyle="stop" operator="between" showDropDown="false" showErrorMessage="false" showInputMessage="false" sqref="D2:E24" type="list">
      <formula1>"High,Medium,Low"</formula1>
      <formula2>0</formula2>
    </dataValidation>
    <dataValidation allowBlank="false" errorStyle="stop" operator="between" showDropDown="false" showErrorMessage="false" showInputMessage="false" sqref="J2:J24" type="list">
      <formula1>"Open,Mitigating,Closed"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60"/>
    <col collapsed="false" customWidth="true" hidden="false" outlineLevel="0" max="4" min="4" style="0" width="9"/>
    <col collapsed="false" customWidth="true" hidden="false" outlineLevel="0" max="5" min="5" style="0" width="24"/>
    <col collapsed="false" customWidth="true" hidden="false" outlineLevel="0" max="6" min="6" style="0" width="60"/>
    <col collapsed="false" customWidth="true" hidden="false" outlineLevel="0" max="7" min="7" style="0" width="12"/>
    <col collapsed="false" customWidth="true" hidden="false" outlineLevel="0" max="8" min="8" style="0" width="10"/>
  </cols>
  <sheetData>
    <row r="1" customFormat="false" ht="30" hidden="false" customHeight="true" outlineLevel="0" collapsed="false">
      <c r="A1" s="12" t="s">
        <v>63</v>
      </c>
      <c r="B1" s="12" t="s">
        <v>1581</v>
      </c>
      <c r="C1" s="12" t="s">
        <v>1440</v>
      </c>
      <c r="D1" s="12" t="s">
        <v>1582</v>
      </c>
      <c r="E1" s="12" t="s">
        <v>76</v>
      </c>
      <c r="F1" s="12" t="s">
        <v>1583</v>
      </c>
      <c r="G1" s="12" t="s">
        <v>1584</v>
      </c>
      <c r="H1" s="12" t="s">
        <v>75</v>
      </c>
    </row>
    <row r="2" customFormat="false" ht="35.05" hidden="false" customHeight="false" outlineLevel="0" collapsed="false">
      <c r="A2" s="14" t="s">
        <v>1585</v>
      </c>
      <c r="B2" s="15" t="s">
        <v>1586</v>
      </c>
      <c r="C2" s="15" t="s">
        <v>1587</v>
      </c>
      <c r="D2" s="14" t="s">
        <v>1450</v>
      </c>
      <c r="E2" s="15" t="s">
        <v>1494</v>
      </c>
      <c r="F2" s="15" t="s">
        <v>1588</v>
      </c>
      <c r="G2" s="16" t="n">
        <v>46323</v>
      </c>
      <c r="H2" s="14" t="s">
        <v>1454</v>
      </c>
    </row>
    <row r="3" customFormat="false" ht="35.05" hidden="false" customHeight="false" outlineLevel="0" collapsed="false">
      <c r="A3" s="14" t="s">
        <v>1589</v>
      </c>
      <c r="B3" s="15" t="s">
        <v>1590</v>
      </c>
      <c r="C3" s="15" t="s">
        <v>1591</v>
      </c>
      <c r="D3" s="14" t="s">
        <v>1450</v>
      </c>
      <c r="E3" s="15" t="s">
        <v>1494</v>
      </c>
      <c r="F3" s="15" t="s">
        <v>1592</v>
      </c>
      <c r="G3" s="16" t="n">
        <v>46330</v>
      </c>
      <c r="H3" s="14" t="s">
        <v>1454</v>
      </c>
    </row>
    <row r="4" customFormat="false" ht="35.05" hidden="false" customHeight="false" outlineLevel="0" collapsed="false">
      <c r="A4" s="14" t="s">
        <v>1593</v>
      </c>
      <c r="B4" s="15" t="s">
        <v>1594</v>
      </c>
      <c r="C4" s="15" t="s">
        <v>1595</v>
      </c>
      <c r="D4" s="14" t="s">
        <v>1450</v>
      </c>
      <c r="E4" s="15" t="s">
        <v>1538</v>
      </c>
      <c r="F4" s="15" t="s">
        <v>1596</v>
      </c>
      <c r="G4" s="16" t="n">
        <v>46318</v>
      </c>
      <c r="H4" s="14" t="s">
        <v>1454</v>
      </c>
    </row>
    <row r="5" customFormat="false" ht="23.85" hidden="false" customHeight="false" outlineLevel="0" collapsed="false">
      <c r="A5" s="14" t="s">
        <v>1597</v>
      </c>
      <c r="B5" s="15" t="s">
        <v>1598</v>
      </c>
      <c r="C5" s="15" t="s">
        <v>1599</v>
      </c>
      <c r="D5" s="14" t="s">
        <v>1449</v>
      </c>
      <c r="E5" s="15" t="s">
        <v>1476</v>
      </c>
      <c r="F5" s="15" t="s">
        <v>1600</v>
      </c>
      <c r="G5" s="16" t="n">
        <v>46339</v>
      </c>
      <c r="H5" s="14" t="s">
        <v>1454</v>
      </c>
    </row>
    <row r="6" customFormat="false" ht="35.05" hidden="false" customHeight="false" outlineLevel="0" collapsed="false">
      <c r="A6" s="14" t="s">
        <v>1601</v>
      </c>
      <c r="B6" s="15" t="s">
        <v>1602</v>
      </c>
      <c r="C6" s="15" t="s">
        <v>1603</v>
      </c>
      <c r="D6" s="14" t="s">
        <v>1449</v>
      </c>
      <c r="E6" s="15" t="s">
        <v>1482</v>
      </c>
      <c r="F6" s="15" t="s">
        <v>1604</v>
      </c>
      <c r="G6" s="16" t="n">
        <v>46346</v>
      </c>
      <c r="H6" s="14" t="s">
        <v>1454</v>
      </c>
    </row>
  </sheetData>
  <autoFilter ref="A1:H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90"/>
    <col collapsed="false" customWidth="true" hidden="false" outlineLevel="0" max="3" min="3" style="0" width="28"/>
    <col collapsed="false" customWidth="true" hidden="false" outlineLevel="0" max="4" min="4" style="0" width="13"/>
  </cols>
  <sheetData>
    <row r="1" customFormat="false" ht="30" hidden="false" customHeight="true" outlineLevel="0" collapsed="false">
      <c r="A1" s="12" t="s">
        <v>63</v>
      </c>
      <c r="B1" s="12" t="s">
        <v>1605</v>
      </c>
      <c r="C1" s="12" t="s">
        <v>76</v>
      </c>
      <c r="D1" s="12" t="s">
        <v>1606</v>
      </c>
    </row>
    <row r="2" customFormat="false" ht="23.85" hidden="false" customHeight="false" outlineLevel="0" collapsed="false">
      <c r="A2" s="14" t="s">
        <v>1607</v>
      </c>
      <c r="B2" s="15" t="s">
        <v>1608</v>
      </c>
      <c r="C2" s="15" t="s">
        <v>1494</v>
      </c>
      <c r="D2" s="16" t="n">
        <v>46332</v>
      </c>
    </row>
    <row r="3" customFormat="false" ht="23.85" hidden="false" customHeight="false" outlineLevel="0" collapsed="false">
      <c r="A3" s="14" t="s">
        <v>1609</v>
      </c>
      <c r="B3" s="15" t="s">
        <v>1610</v>
      </c>
      <c r="C3" s="15" t="s">
        <v>1560</v>
      </c>
      <c r="D3" s="16" t="n">
        <v>46318</v>
      </c>
    </row>
    <row r="4" customFormat="false" ht="15" hidden="false" customHeight="false" outlineLevel="0" collapsed="false">
      <c r="A4" s="14" t="s">
        <v>1611</v>
      </c>
      <c r="B4" s="15" t="s">
        <v>1612</v>
      </c>
      <c r="C4" s="15" t="s">
        <v>1482</v>
      </c>
      <c r="D4" s="16" t="n">
        <v>46332</v>
      </c>
    </row>
    <row r="5" customFormat="false" ht="23.85" hidden="false" customHeight="false" outlineLevel="0" collapsed="false">
      <c r="A5" s="14" t="s">
        <v>1613</v>
      </c>
      <c r="B5" s="15" t="s">
        <v>1614</v>
      </c>
      <c r="C5" s="15" t="s">
        <v>1615</v>
      </c>
      <c r="D5" s="16" t="n">
        <v>46325</v>
      </c>
    </row>
    <row r="6" customFormat="false" ht="23.85" hidden="false" customHeight="false" outlineLevel="0" collapsed="false">
      <c r="A6" s="14" t="s">
        <v>1616</v>
      </c>
      <c r="B6" s="15" t="s">
        <v>1617</v>
      </c>
      <c r="C6" s="15" t="s">
        <v>1516</v>
      </c>
      <c r="D6" s="16" t="n">
        <v>46332</v>
      </c>
    </row>
    <row r="7" customFormat="false" ht="35.05" hidden="false" customHeight="false" outlineLevel="0" collapsed="false">
      <c r="A7" s="14" t="s">
        <v>1618</v>
      </c>
      <c r="B7" s="15" t="s">
        <v>1619</v>
      </c>
      <c r="C7" s="15" t="s">
        <v>1620</v>
      </c>
      <c r="D7" s="16" t="n">
        <v>46332</v>
      </c>
    </row>
    <row r="8" customFormat="false" ht="23.85" hidden="false" customHeight="false" outlineLevel="0" collapsed="false">
      <c r="A8" s="14" t="s">
        <v>1621</v>
      </c>
      <c r="B8" s="15" t="s">
        <v>1622</v>
      </c>
      <c r="C8" s="15" t="s">
        <v>1476</v>
      </c>
      <c r="D8" s="16" t="n">
        <v>46339</v>
      </c>
    </row>
    <row r="9" customFormat="false" ht="23.85" hidden="false" customHeight="false" outlineLevel="0" collapsed="false">
      <c r="A9" s="14" t="s">
        <v>1623</v>
      </c>
      <c r="B9" s="15" t="s">
        <v>1624</v>
      </c>
      <c r="C9" s="15" t="s">
        <v>1516</v>
      </c>
      <c r="D9" s="16" t="n">
        <v>46346</v>
      </c>
    </row>
    <row r="10" customFormat="false" ht="23.85" hidden="false" customHeight="false" outlineLevel="0" collapsed="false">
      <c r="A10" s="14" t="s">
        <v>1625</v>
      </c>
      <c r="B10" s="15" t="s">
        <v>1626</v>
      </c>
      <c r="C10" s="15" t="s">
        <v>1549</v>
      </c>
      <c r="D10" s="16" t="n">
        <v>46346</v>
      </c>
    </row>
    <row r="11" customFormat="false" ht="23.85" hidden="false" customHeight="false" outlineLevel="0" collapsed="false">
      <c r="A11" s="14" t="s">
        <v>1627</v>
      </c>
      <c r="B11" s="15" t="s">
        <v>1628</v>
      </c>
      <c r="C11" s="15" t="s">
        <v>1494</v>
      </c>
      <c r="D11" s="16" t="n">
        <v>46367</v>
      </c>
    </row>
    <row r="12" customFormat="false" ht="23.85" hidden="false" customHeight="false" outlineLevel="0" collapsed="false">
      <c r="A12" s="14" t="s">
        <v>1629</v>
      </c>
      <c r="B12" s="15" t="s">
        <v>1630</v>
      </c>
      <c r="C12" s="15" t="s">
        <v>1560</v>
      </c>
      <c r="D12" s="16" t="n">
        <v>46430</v>
      </c>
    </row>
  </sheetData>
  <autoFilter ref="A1:D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70"/>
    <col collapsed="false" customWidth="true" hidden="false" outlineLevel="0" max="4" min="4" style="0" width="26"/>
    <col collapsed="false" customWidth="true" hidden="false" outlineLevel="0" max="5" min="5" style="0" width="10"/>
    <col collapsed="false" customWidth="true" hidden="false" outlineLevel="0" max="6" min="6" style="0" width="12"/>
  </cols>
  <sheetData>
    <row r="1" customFormat="false" ht="30" hidden="false" customHeight="true" outlineLevel="0" collapsed="false">
      <c r="A1" s="12" t="s">
        <v>63</v>
      </c>
      <c r="B1" s="12" t="s">
        <v>1631</v>
      </c>
      <c r="C1" s="12" t="s">
        <v>1440</v>
      </c>
      <c r="D1" s="12" t="s">
        <v>76</v>
      </c>
      <c r="E1" s="12" t="s">
        <v>75</v>
      </c>
      <c r="F1" s="12" t="s">
        <v>1584</v>
      </c>
    </row>
    <row r="2" customFormat="false" ht="57.45" hidden="false" customHeight="false" outlineLevel="0" collapsed="false">
      <c r="A2" s="14" t="s">
        <v>1632</v>
      </c>
      <c r="B2" s="15" t="s">
        <v>1633</v>
      </c>
      <c r="C2" s="15" t="s">
        <v>1634</v>
      </c>
      <c r="D2" s="15" t="s">
        <v>1560</v>
      </c>
      <c r="E2" s="14" t="s">
        <v>1635</v>
      </c>
      <c r="F2" s="16" t="n">
        <v>46318</v>
      </c>
    </row>
    <row r="3" customFormat="false" ht="57.45" hidden="false" customHeight="false" outlineLevel="0" collapsed="false">
      <c r="A3" s="14" t="s">
        <v>1636</v>
      </c>
      <c r="B3" s="15" t="s">
        <v>1637</v>
      </c>
      <c r="C3" s="15" t="s">
        <v>1638</v>
      </c>
      <c r="D3" s="15" t="s">
        <v>1482</v>
      </c>
      <c r="E3" s="14" t="s">
        <v>1635</v>
      </c>
      <c r="F3" s="16" t="n">
        <v>46318</v>
      </c>
    </row>
    <row r="4" customFormat="false" ht="46.25" hidden="false" customHeight="false" outlineLevel="0" collapsed="false">
      <c r="A4" s="14" t="s">
        <v>1639</v>
      </c>
      <c r="B4" s="15" t="s">
        <v>1640</v>
      </c>
      <c r="C4" s="15" t="s">
        <v>1641</v>
      </c>
      <c r="D4" s="15" t="s">
        <v>1494</v>
      </c>
      <c r="E4" s="14" t="s">
        <v>1642</v>
      </c>
      <c r="F4" s="16" t="n">
        <v>46325</v>
      </c>
    </row>
    <row r="5" customFormat="false" ht="57.45" hidden="false" customHeight="false" outlineLevel="0" collapsed="false">
      <c r="A5" s="14" t="s">
        <v>1643</v>
      </c>
      <c r="B5" s="15" t="s">
        <v>1644</v>
      </c>
      <c r="C5" s="15" t="s">
        <v>1645</v>
      </c>
      <c r="D5" s="15" t="s">
        <v>1476</v>
      </c>
      <c r="E5" s="14" t="s">
        <v>1635</v>
      </c>
      <c r="F5" s="16" t="n">
        <v>46332</v>
      </c>
    </row>
    <row r="6" customFormat="false" ht="46.25" hidden="false" customHeight="false" outlineLevel="0" collapsed="false">
      <c r="A6" s="14" t="s">
        <v>1646</v>
      </c>
      <c r="B6" s="15" t="s">
        <v>1647</v>
      </c>
      <c r="C6" s="15" t="s">
        <v>1648</v>
      </c>
      <c r="D6" s="15" t="s">
        <v>1494</v>
      </c>
      <c r="E6" s="14" t="s">
        <v>1642</v>
      </c>
      <c r="F6" s="16" t="n">
        <v>46332</v>
      </c>
    </row>
    <row r="7" customFormat="false" ht="46.25" hidden="false" customHeight="false" outlineLevel="0" collapsed="false">
      <c r="A7" s="14" t="s">
        <v>1649</v>
      </c>
      <c r="B7" s="15" t="s">
        <v>1650</v>
      </c>
      <c r="C7" s="15" t="s">
        <v>1651</v>
      </c>
      <c r="D7" s="15" t="s">
        <v>1482</v>
      </c>
      <c r="E7" s="14" t="s">
        <v>1635</v>
      </c>
      <c r="F7" s="16" t="n">
        <v>46325</v>
      </c>
    </row>
    <row r="8" customFormat="false" ht="57.45" hidden="false" customHeight="false" outlineLevel="0" collapsed="false">
      <c r="A8" s="14" t="s">
        <v>1652</v>
      </c>
      <c r="B8" s="15" t="s">
        <v>1653</v>
      </c>
      <c r="C8" s="15" t="s">
        <v>1654</v>
      </c>
      <c r="D8" s="15" t="s">
        <v>1516</v>
      </c>
      <c r="E8" s="14" t="s">
        <v>1635</v>
      </c>
      <c r="F8" s="16" t="n">
        <v>46346</v>
      </c>
    </row>
    <row r="9" customFormat="false" ht="57.45" hidden="false" customHeight="false" outlineLevel="0" collapsed="false">
      <c r="A9" s="14" t="s">
        <v>1655</v>
      </c>
      <c r="B9" s="15" t="s">
        <v>1656</v>
      </c>
      <c r="C9" s="15" t="s">
        <v>1657</v>
      </c>
      <c r="D9" s="15" t="s">
        <v>1494</v>
      </c>
      <c r="E9" s="14" t="s">
        <v>1642</v>
      </c>
      <c r="F9" s="16" t="n">
        <v>46325</v>
      </c>
    </row>
    <row r="10" customFormat="false" ht="35.05" hidden="false" customHeight="false" outlineLevel="0" collapsed="false">
      <c r="A10" s="14" t="s">
        <v>1658</v>
      </c>
      <c r="B10" s="15" t="s">
        <v>1659</v>
      </c>
      <c r="C10" s="15" t="s">
        <v>1660</v>
      </c>
      <c r="D10" s="15" t="s">
        <v>1560</v>
      </c>
      <c r="E10" s="14" t="s">
        <v>1635</v>
      </c>
      <c r="F10" s="16" t="n">
        <v>46332</v>
      </c>
    </row>
    <row r="11" customFormat="false" ht="46.25" hidden="false" customHeight="false" outlineLevel="0" collapsed="false">
      <c r="A11" s="14" t="s">
        <v>1661</v>
      </c>
      <c r="B11" s="15" t="s">
        <v>1662</v>
      </c>
      <c r="C11" s="15" t="s">
        <v>1663</v>
      </c>
      <c r="D11" s="15" t="s">
        <v>1482</v>
      </c>
      <c r="E11" s="14" t="s">
        <v>1635</v>
      </c>
      <c r="F11" s="16" t="n">
        <v>46332</v>
      </c>
    </row>
    <row r="12" customFormat="false" ht="46.25" hidden="false" customHeight="false" outlineLevel="0" collapsed="false">
      <c r="A12" s="14" t="s">
        <v>1664</v>
      </c>
      <c r="B12" s="15" t="s">
        <v>1665</v>
      </c>
      <c r="C12" s="15" t="s">
        <v>1666</v>
      </c>
      <c r="D12" s="15" t="s">
        <v>1451</v>
      </c>
      <c r="E12" s="14" t="s">
        <v>1635</v>
      </c>
      <c r="F12" s="16" t="n">
        <v>46353</v>
      </c>
    </row>
    <row r="13" customFormat="false" ht="57.45" hidden="false" customHeight="false" outlineLevel="0" collapsed="false">
      <c r="A13" s="14" t="s">
        <v>1667</v>
      </c>
      <c r="B13" s="15" t="s">
        <v>1668</v>
      </c>
      <c r="C13" s="15" t="s">
        <v>1669</v>
      </c>
      <c r="D13" s="15" t="s">
        <v>1494</v>
      </c>
      <c r="E13" s="14" t="s">
        <v>1635</v>
      </c>
      <c r="F13" s="16" t="n">
        <v>46332</v>
      </c>
    </row>
    <row r="14" customFormat="false" ht="35.05" hidden="false" customHeight="false" outlineLevel="0" collapsed="false">
      <c r="A14" s="14" t="s">
        <v>1670</v>
      </c>
      <c r="B14" s="15" t="s">
        <v>1671</v>
      </c>
      <c r="C14" s="15" t="s">
        <v>1672</v>
      </c>
      <c r="D14" s="15" t="s">
        <v>1516</v>
      </c>
      <c r="E14" s="14" t="s">
        <v>1635</v>
      </c>
      <c r="F14" s="16" t="n">
        <v>46325</v>
      </c>
    </row>
    <row r="15" customFormat="false" ht="35.05" hidden="false" customHeight="false" outlineLevel="0" collapsed="false">
      <c r="A15" s="14" t="s">
        <v>1673</v>
      </c>
      <c r="B15" s="15" t="s">
        <v>1674</v>
      </c>
      <c r="C15" s="15" t="s">
        <v>1675</v>
      </c>
      <c r="D15" s="15" t="s">
        <v>1560</v>
      </c>
      <c r="E15" s="14" t="s">
        <v>1635</v>
      </c>
      <c r="F15" s="16" t="n">
        <v>46318</v>
      </c>
    </row>
  </sheetData>
  <autoFilter ref="A1:F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10" min="2" style="0" width="12"/>
  </cols>
  <sheetData>
    <row r="1" customFormat="false" ht="30" hidden="false" customHeight="true" outlineLevel="0" collapsed="false">
      <c r="A1" s="12" t="s">
        <v>1676</v>
      </c>
      <c r="B1" s="12" t="s">
        <v>1677</v>
      </c>
      <c r="C1" s="12" t="s">
        <v>1678</v>
      </c>
      <c r="D1" s="12" t="s">
        <v>1679</v>
      </c>
      <c r="E1" s="12" t="s">
        <v>1680</v>
      </c>
      <c r="F1" s="12" t="s">
        <v>1681</v>
      </c>
      <c r="G1" s="12" t="s">
        <v>1682</v>
      </c>
      <c r="H1" s="12" t="s">
        <v>1683</v>
      </c>
      <c r="I1" s="12" t="s">
        <v>1684</v>
      </c>
      <c r="J1" s="12" t="s">
        <v>1685</v>
      </c>
    </row>
    <row r="2" customFormat="false" ht="15" hidden="false" customHeight="false" outlineLevel="0" collapsed="false">
      <c r="A2" s="15" t="s">
        <v>1686</v>
      </c>
      <c r="B2" s="14" t="s">
        <v>1687</v>
      </c>
      <c r="C2" s="14" t="s">
        <v>1688</v>
      </c>
      <c r="D2" s="14" t="s">
        <v>1688</v>
      </c>
      <c r="E2" s="14" t="s">
        <v>1689</v>
      </c>
      <c r="F2" s="14" t="s">
        <v>1690</v>
      </c>
      <c r="G2" s="14" t="s">
        <v>1689</v>
      </c>
      <c r="H2" s="14" t="s">
        <v>1689</v>
      </c>
      <c r="I2" s="14" t="s">
        <v>1690</v>
      </c>
      <c r="J2" s="14" t="s">
        <v>1690</v>
      </c>
    </row>
    <row r="3" customFormat="false" ht="15" hidden="false" customHeight="false" outlineLevel="0" collapsed="false">
      <c r="A3" s="15" t="s">
        <v>1691</v>
      </c>
      <c r="B3" s="14" t="s">
        <v>1690</v>
      </c>
      <c r="C3" s="14" t="s">
        <v>1690</v>
      </c>
      <c r="D3" s="14" t="s">
        <v>1692</v>
      </c>
      <c r="E3" s="14" t="s">
        <v>1689</v>
      </c>
      <c r="F3" s="14" t="s">
        <v>1690</v>
      </c>
      <c r="G3" s="14" t="s">
        <v>1689</v>
      </c>
      <c r="H3" s="14" t="s">
        <v>1689</v>
      </c>
      <c r="I3" s="14" t="s">
        <v>1690</v>
      </c>
      <c r="J3" s="14" t="s">
        <v>1690</v>
      </c>
    </row>
    <row r="4" customFormat="false" ht="15" hidden="false" customHeight="false" outlineLevel="0" collapsed="false">
      <c r="A4" s="15" t="s">
        <v>1693</v>
      </c>
      <c r="B4" s="14" t="s">
        <v>1690</v>
      </c>
      <c r="C4" s="14" t="s">
        <v>1690</v>
      </c>
      <c r="D4" s="14" t="s">
        <v>1692</v>
      </c>
      <c r="E4" s="14" t="s">
        <v>1689</v>
      </c>
      <c r="F4" s="14" t="s">
        <v>1690</v>
      </c>
      <c r="G4" s="14" t="s">
        <v>1689</v>
      </c>
      <c r="H4" s="14" t="s">
        <v>1689</v>
      </c>
      <c r="I4" s="14"/>
      <c r="J4" s="14" t="s">
        <v>1689</v>
      </c>
    </row>
    <row r="5" customFormat="false" ht="15" hidden="false" customHeight="false" outlineLevel="0" collapsed="false">
      <c r="A5" s="15" t="s">
        <v>1694</v>
      </c>
      <c r="B5" s="14" t="s">
        <v>1690</v>
      </c>
      <c r="C5" s="14" t="s">
        <v>1689</v>
      </c>
      <c r="D5" s="14" t="s">
        <v>1688</v>
      </c>
      <c r="E5" s="14" t="s">
        <v>1687</v>
      </c>
      <c r="F5" s="14" t="s">
        <v>1688</v>
      </c>
      <c r="G5" s="14" t="s">
        <v>1689</v>
      </c>
      <c r="H5" s="14" t="s">
        <v>1689</v>
      </c>
      <c r="I5" s="14" t="s">
        <v>1690</v>
      </c>
      <c r="J5" s="14" t="s">
        <v>1690</v>
      </c>
    </row>
    <row r="6" customFormat="false" ht="15" hidden="false" customHeight="false" outlineLevel="0" collapsed="false">
      <c r="A6" s="15" t="s">
        <v>1695</v>
      </c>
      <c r="B6" s="14"/>
      <c r="C6" s="14"/>
      <c r="D6" s="14" t="s">
        <v>1690</v>
      </c>
      <c r="E6" s="14" t="s">
        <v>1689</v>
      </c>
      <c r="F6" s="14" t="s">
        <v>1692</v>
      </c>
      <c r="G6" s="14" t="s">
        <v>1689</v>
      </c>
      <c r="H6" s="14" t="s">
        <v>1688</v>
      </c>
      <c r="I6" s="14"/>
      <c r="J6" s="14"/>
    </row>
    <row r="7" customFormat="false" ht="15" hidden="false" customHeight="false" outlineLevel="0" collapsed="false">
      <c r="A7" s="15" t="s">
        <v>1696</v>
      </c>
      <c r="B7" s="14"/>
      <c r="C7" s="14"/>
      <c r="D7" s="14" t="s">
        <v>1690</v>
      </c>
      <c r="E7" s="14" t="s">
        <v>1689</v>
      </c>
      <c r="F7" s="14" t="s">
        <v>1692</v>
      </c>
      <c r="G7" s="14" t="s">
        <v>1689</v>
      </c>
      <c r="H7" s="14" t="s">
        <v>1689</v>
      </c>
      <c r="I7" s="14" t="s">
        <v>1690</v>
      </c>
      <c r="J7" s="14"/>
    </row>
    <row r="8" customFormat="false" ht="15" hidden="false" customHeight="false" outlineLevel="0" collapsed="false">
      <c r="A8" s="15" t="s">
        <v>1697</v>
      </c>
      <c r="B8" s="14"/>
      <c r="C8" s="14"/>
      <c r="D8" s="14" t="s">
        <v>1690</v>
      </c>
      <c r="E8" s="14" t="s">
        <v>1690</v>
      </c>
      <c r="F8" s="14" t="s">
        <v>1689</v>
      </c>
      <c r="G8" s="14" t="s">
        <v>1689</v>
      </c>
      <c r="H8" s="14" t="s">
        <v>1692</v>
      </c>
      <c r="I8" s="14" t="s">
        <v>1690</v>
      </c>
      <c r="J8" s="14"/>
    </row>
    <row r="9" customFormat="false" ht="15" hidden="false" customHeight="false" outlineLevel="0" collapsed="false">
      <c r="A9" s="15" t="s">
        <v>1698</v>
      </c>
      <c r="B9" s="14"/>
      <c r="C9" s="14"/>
      <c r="D9" s="14" t="s">
        <v>1690</v>
      </c>
      <c r="E9" s="14" t="s">
        <v>1690</v>
      </c>
      <c r="F9" s="14" t="s">
        <v>1689</v>
      </c>
      <c r="G9" s="14" t="s">
        <v>1692</v>
      </c>
      <c r="H9" s="14" t="s">
        <v>1689</v>
      </c>
      <c r="I9" s="14"/>
      <c r="J9" s="14"/>
    </row>
    <row r="10" customFormat="false" ht="15" hidden="false" customHeight="false" outlineLevel="0" collapsed="false">
      <c r="A10" s="15" t="s">
        <v>1699</v>
      </c>
      <c r="B10" s="14"/>
      <c r="C10" s="14" t="s">
        <v>1690</v>
      </c>
      <c r="D10" s="14" t="s">
        <v>1690</v>
      </c>
      <c r="E10" s="14" t="s">
        <v>1690</v>
      </c>
      <c r="F10" s="14" t="s">
        <v>1689</v>
      </c>
      <c r="G10" s="14" t="s">
        <v>1689</v>
      </c>
      <c r="H10" s="14" t="s">
        <v>1692</v>
      </c>
      <c r="I10" s="14" t="s">
        <v>1689</v>
      </c>
      <c r="J10" s="14"/>
    </row>
    <row r="11" customFormat="false" ht="15" hidden="false" customHeight="false" outlineLevel="0" collapsed="false">
      <c r="A11" s="15" t="s">
        <v>1700</v>
      </c>
      <c r="B11" s="14" t="s">
        <v>1687</v>
      </c>
      <c r="C11" s="14" t="s">
        <v>1690</v>
      </c>
      <c r="D11" s="14" t="s">
        <v>1690</v>
      </c>
      <c r="E11" s="14" t="s">
        <v>1688</v>
      </c>
      <c r="F11" s="14" t="s">
        <v>1688</v>
      </c>
      <c r="G11" s="14" t="s">
        <v>1688</v>
      </c>
      <c r="H11" s="14" t="s">
        <v>1688</v>
      </c>
      <c r="I11" s="14" t="s">
        <v>1690</v>
      </c>
      <c r="J11" s="14"/>
    </row>
    <row r="12" customFormat="false" ht="23.85" hidden="false" customHeight="false" outlineLevel="0" collapsed="false">
      <c r="A12" s="15" t="s">
        <v>1701</v>
      </c>
      <c r="B12" s="14"/>
      <c r="C12" s="14"/>
      <c r="D12" s="14" t="s">
        <v>1690</v>
      </c>
      <c r="E12" s="14" t="s">
        <v>1692</v>
      </c>
      <c r="F12" s="14" t="s">
        <v>1688</v>
      </c>
      <c r="G12" s="14" t="s">
        <v>1689</v>
      </c>
      <c r="H12" s="14" t="s">
        <v>1689</v>
      </c>
      <c r="I12" s="14" t="s">
        <v>1690</v>
      </c>
      <c r="J12" s="14" t="s">
        <v>1689</v>
      </c>
    </row>
    <row r="13" customFormat="false" ht="15" hidden="false" customHeight="false" outlineLevel="0" collapsed="false">
      <c r="A13" s="15" t="s">
        <v>1702</v>
      </c>
      <c r="B13" s="14"/>
      <c r="C13" s="14"/>
      <c r="D13" s="14" t="s">
        <v>1690</v>
      </c>
      <c r="E13" s="14" t="s">
        <v>1690</v>
      </c>
      <c r="F13" s="14" t="s">
        <v>1688</v>
      </c>
      <c r="G13" s="14" t="s">
        <v>1687</v>
      </c>
      <c r="H13" s="14" t="s">
        <v>1688</v>
      </c>
      <c r="I13" s="14"/>
      <c r="J13" s="14"/>
    </row>
    <row r="14" customFormat="false" ht="23.85" hidden="false" customHeight="false" outlineLevel="0" collapsed="false">
      <c r="A14" s="15" t="s">
        <v>1703</v>
      </c>
      <c r="B14" s="14"/>
      <c r="C14" s="14" t="s">
        <v>1690</v>
      </c>
      <c r="D14" s="14" t="s">
        <v>1690</v>
      </c>
      <c r="E14" s="14" t="s">
        <v>1689</v>
      </c>
      <c r="F14" s="14" t="s">
        <v>1688</v>
      </c>
      <c r="G14" s="14" t="s">
        <v>1687</v>
      </c>
      <c r="H14" s="14"/>
      <c r="I14" s="14"/>
      <c r="J14" s="14" t="s">
        <v>1689</v>
      </c>
    </row>
    <row r="15" customFormat="false" ht="15" hidden="false" customHeight="false" outlineLevel="0" collapsed="false">
      <c r="A15" s="15" t="s">
        <v>1704</v>
      </c>
      <c r="B15" s="14"/>
      <c r="C15" s="14"/>
      <c r="D15" s="14" t="s">
        <v>1688</v>
      </c>
      <c r="E15" s="14" t="s">
        <v>1689</v>
      </c>
      <c r="F15" s="14" t="s">
        <v>1687</v>
      </c>
      <c r="G15" s="14" t="s">
        <v>1690</v>
      </c>
      <c r="H15" s="14" t="s">
        <v>1688</v>
      </c>
      <c r="I15" s="14" t="s">
        <v>1688</v>
      </c>
      <c r="J15" s="14"/>
    </row>
    <row r="16" customFormat="false" ht="15" hidden="false" customHeight="false" outlineLevel="0" collapsed="false">
      <c r="A16" s="15" t="s">
        <v>1705</v>
      </c>
      <c r="B16" s="14" t="s">
        <v>1690</v>
      </c>
      <c r="C16" s="14"/>
      <c r="D16" s="14" t="s">
        <v>1689</v>
      </c>
      <c r="E16" s="14" t="s">
        <v>1689</v>
      </c>
      <c r="F16" s="14" t="s">
        <v>1689</v>
      </c>
      <c r="G16" s="14" t="s">
        <v>1690</v>
      </c>
      <c r="H16" s="14" t="s">
        <v>1689</v>
      </c>
      <c r="I16" s="14" t="s">
        <v>1692</v>
      </c>
      <c r="J16" s="14"/>
    </row>
    <row r="17" customFormat="false" ht="15" hidden="false" customHeight="false" outlineLevel="0" collapsed="false">
      <c r="A17" s="15" t="s">
        <v>1706</v>
      </c>
      <c r="B17" s="14" t="s">
        <v>1689</v>
      </c>
      <c r="C17" s="14" t="s">
        <v>1690</v>
      </c>
      <c r="D17" s="14" t="s">
        <v>1688</v>
      </c>
      <c r="E17" s="14" t="s">
        <v>1690</v>
      </c>
      <c r="F17" s="14" t="s">
        <v>1689</v>
      </c>
      <c r="G17" s="14" t="s">
        <v>1689</v>
      </c>
      <c r="H17" s="14" t="s">
        <v>1688</v>
      </c>
      <c r="I17" s="14" t="s">
        <v>1687</v>
      </c>
      <c r="J17" s="14" t="s">
        <v>1690</v>
      </c>
    </row>
    <row r="18" customFormat="false" ht="15" hidden="false" customHeight="false" outlineLevel="0" collapsed="false">
      <c r="A18" s="15" t="s">
        <v>1707</v>
      </c>
      <c r="B18" s="14" t="s">
        <v>1689</v>
      </c>
      <c r="C18" s="14" t="s">
        <v>1687</v>
      </c>
      <c r="D18" s="14" t="s">
        <v>1688</v>
      </c>
      <c r="E18" s="14" t="s">
        <v>1689</v>
      </c>
      <c r="F18" s="14" t="s">
        <v>1690</v>
      </c>
      <c r="G18" s="14" t="s">
        <v>1689</v>
      </c>
      <c r="H18" s="14" t="s">
        <v>1689</v>
      </c>
      <c r="I18" s="14" t="s">
        <v>1690</v>
      </c>
      <c r="J18" s="14"/>
    </row>
    <row r="19" customFormat="false" ht="15" hidden="false" customHeight="false" outlineLevel="0" collapsed="false">
      <c r="A19" s="15" t="s">
        <v>1708</v>
      </c>
      <c r="B19" s="14" t="s">
        <v>1690</v>
      </c>
      <c r="C19" s="14" t="s">
        <v>1690</v>
      </c>
      <c r="D19" s="14" t="s">
        <v>1688</v>
      </c>
      <c r="E19" s="14" t="s">
        <v>1689</v>
      </c>
      <c r="F19" s="14" t="s">
        <v>1689</v>
      </c>
      <c r="G19" s="14" t="s">
        <v>1689</v>
      </c>
      <c r="H19" s="14"/>
      <c r="I19" s="14"/>
      <c r="J19" s="14" t="s">
        <v>1692</v>
      </c>
    </row>
    <row r="20" customFormat="false" ht="15" hidden="false" customHeight="false" outlineLevel="0" collapsed="false">
      <c r="A20" s="15" t="s">
        <v>1709</v>
      </c>
      <c r="B20" s="14" t="s">
        <v>1690</v>
      </c>
      <c r="C20" s="14" t="s">
        <v>1690</v>
      </c>
      <c r="D20" s="14" t="s">
        <v>1687</v>
      </c>
      <c r="E20" s="14" t="s">
        <v>1688</v>
      </c>
      <c r="F20" s="14" t="s">
        <v>1688</v>
      </c>
      <c r="G20" s="14"/>
      <c r="H20" s="14" t="s">
        <v>1689</v>
      </c>
      <c r="I20" s="14" t="s">
        <v>1690</v>
      </c>
      <c r="J20" s="14"/>
    </row>
    <row r="21" customFormat="false" ht="15" hidden="false" customHeight="false" outlineLevel="0" collapsed="false">
      <c r="A21" s="15" t="s">
        <v>1710</v>
      </c>
      <c r="B21" s="14" t="s">
        <v>1687</v>
      </c>
      <c r="C21" s="14" t="s">
        <v>1688</v>
      </c>
      <c r="D21" s="14" t="s">
        <v>1688</v>
      </c>
      <c r="E21" s="14" t="s">
        <v>1689</v>
      </c>
      <c r="F21" s="14" t="s">
        <v>1690</v>
      </c>
      <c r="G21" s="14" t="s">
        <v>1689</v>
      </c>
      <c r="H21" s="14" t="s">
        <v>1689</v>
      </c>
      <c r="I21" s="14" t="s">
        <v>1689</v>
      </c>
      <c r="J21" s="14" t="s">
        <v>1689</v>
      </c>
    </row>
  </sheetData>
  <autoFilter ref="A1:J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6"/>
    <col collapsed="false" customWidth="true" hidden="false" outlineLevel="0" max="5" min="4" style="0" width="30"/>
    <col collapsed="false" customWidth="true" hidden="false" outlineLevel="0" max="7" min="6" style="0" width="9"/>
    <col collapsed="false" customWidth="true" hidden="false" outlineLevel="0" max="8" min="8" style="0" width="60"/>
    <col collapsed="false" customWidth="true" hidden="false" outlineLevel="0" max="9" min="9" style="0" width="30"/>
  </cols>
  <sheetData>
    <row r="1" customFormat="false" ht="30" hidden="false" customHeight="true" outlineLevel="0" collapsed="false">
      <c r="A1" s="12" t="s">
        <v>1711</v>
      </c>
      <c r="B1" s="12" t="s">
        <v>1712</v>
      </c>
      <c r="C1" s="12" t="s">
        <v>1713</v>
      </c>
      <c r="D1" s="12" t="s">
        <v>1714</v>
      </c>
      <c r="E1" s="12" t="s">
        <v>1715</v>
      </c>
      <c r="F1" s="12" t="s">
        <v>1716</v>
      </c>
      <c r="G1" s="12" t="s">
        <v>1717</v>
      </c>
      <c r="H1" s="12" t="s">
        <v>1718</v>
      </c>
      <c r="I1" s="12" t="s">
        <v>1719</v>
      </c>
    </row>
    <row r="2" customFormat="false" ht="23.85" hidden="false" customHeight="false" outlineLevel="0" collapsed="false">
      <c r="A2" s="14" t="s">
        <v>1720</v>
      </c>
      <c r="B2" s="15" t="s">
        <v>1721</v>
      </c>
      <c r="C2" s="14" t="n">
        <v>1</v>
      </c>
      <c r="D2" s="15" t="s">
        <v>1722</v>
      </c>
      <c r="E2" s="15" t="s">
        <v>1723</v>
      </c>
      <c r="F2" s="14" t="s">
        <v>1724</v>
      </c>
      <c r="G2" s="14" t="s">
        <v>1725</v>
      </c>
      <c r="H2" s="15" t="s">
        <v>1726</v>
      </c>
      <c r="I2" s="19"/>
    </row>
    <row r="3" customFormat="false" ht="15" hidden="false" customHeight="false" outlineLevel="0" collapsed="false">
      <c r="A3" s="14" t="s">
        <v>1720</v>
      </c>
      <c r="B3" s="15" t="s">
        <v>1721</v>
      </c>
      <c r="C3" s="14" t="n">
        <v>2</v>
      </c>
      <c r="D3" s="15" t="s">
        <v>1727</v>
      </c>
      <c r="E3" s="15" t="s">
        <v>1728</v>
      </c>
      <c r="F3" s="14" t="s">
        <v>1724</v>
      </c>
      <c r="G3" s="14" t="s">
        <v>1725</v>
      </c>
      <c r="H3" s="15" t="s">
        <v>1729</v>
      </c>
      <c r="I3" s="19"/>
    </row>
    <row r="4" customFormat="false" ht="23.85" hidden="false" customHeight="false" outlineLevel="0" collapsed="false">
      <c r="A4" s="14" t="s">
        <v>1720</v>
      </c>
      <c r="B4" s="15" t="s">
        <v>1721</v>
      </c>
      <c r="C4" s="14" t="n">
        <v>3</v>
      </c>
      <c r="D4" s="15" t="s">
        <v>1730</v>
      </c>
      <c r="E4" s="15" t="s">
        <v>1482</v>
      </c>
      <c r="F4" s="14" t="s">
        <v>1724</v>
      </c>
      <c r="G4" s="14" t="s">
        <v>1725</v>
      </c>
      <c r="H4" s="15" t="s">
        <v>1731</v>
      </c>
      <c r="I4" s="19"/>
    </row>
    <row r="5" customFormat="false" ht="23.85" hidden="false" customHeight="false" outlineLevel="0" collapsed="false">
      <c r="A5" s="14" t="s">
        <v>1720</v>
      </c>
      <c r="B5" s="15" t="s">
        <v>1721</v>
      </c>
      <c r="C5" s="14" t="n">
        <v>4</v>
      </c>
      <c r="D5" s="15" t="s">
        <v>1732</v>
      </c>
      <c r="E5" s="15" t="s">
        <v>1620</v>
      </c>
      <c r="F5" s="14" t="s">
        <v>1733</v>
      </c>
      <c r="G5" s="14" t="s">
        <v>1725</v>
      </c>
      <c r="H5" s="15" t="s">
        <v>1734</v>
      </c>
      <c r="I5" s="19"/>
    </row>
    <row r="6" customFormat="false" ht="35.05" hidden="false" customHeight="false" outlineLevel="0" collapsed="false">
      <c r="A6" s="14" t="s">
        <v>1720</v>
      </c>
      <c r="B6" s="15" t="s">
        <v>1721</v>
      </c>
      <c r="C6" s="14" t="n">
        <v>5</v>
      </c>
      <c r="D6" s="15" t="s">
        <v>1735</v>
      </c>
      <c r="E6" s="15" t="s">
        <v>1736</v>
      </c>
      <c r="F6" s="14" t="s">
        <v>1724</v>
      </c>
      <c r="G6" s="14" t="s">
        <v>1737</v>
      </c>
      <c r="H6" s="15" t="s">
        <v>1738</v>
      </c>
      <c r="I6" s="19"/>
    </row>
    <row r="7" customFormat="false" ht="15" hidden="false" customHeight="false" outlineLevel="0" collapsed="false">
      <c r="A7" s="14" t="s">
        <v>1720</v>
      </c>
      <c r="B7" s="15" t="s">
        <v>1721</v>
      </c>
      <c r="C7" s="14" t="n">
        <v>6</v>
      </c>
      <c r="D7" s="15" t="s">
        <v>1739</v>
      </c>
      <c r="E7" s="15" t="s">
        <v>1560</v>
      </c>
      <c r="F7" s="14" t="s">
        <v>1724</v>
      </c>
      <c r="G7" s="14" t="s">
        <v>1725</v>
      </c>
      <c r="H7" s="15" t="s">
        <v>1740</v>
      </c>
      <c r="I7" s="19"/>
    </row>
    <row r="8" customFormat="false" ht="23.85" hidden="false" customHeight="false" outlineLevel="0" collapsed="false">
      <c r="A8" s="14" t="s">
        <v>1741</v>
      </c>
      <c r="B8" s="15" t="s">
        <v>1742</v>
      </c>
      <c r="C8" s="14" t="n">
        <v>1</v>
      </c>
      <c r="D8" s="15" t="s">
        <v>1743</v>
      </c>
      <c r="E8" s="15" t="s">
        <v>1744</v>
      </c>
      <c r="F8" s="14" t="s">
        <v>1724</v>
      </c>
      <c r="G8" s="14" t="s">
        <v>1725</v>
      </c>
      <c r="H8" s="15" t="s">
        <v>1745</v>
      </c>
      <c r="I8" s="19"/>
    </row>
    <row r="9" customFormat="false" ht="15" hidden="false" customHeight="false" outlineLevel="0" collapsed="false">
      <c r="A9" s="14" t="s">
        <v>1741</v>
      </c>
      <c r="B9" s="15" t="s">
        <v>1742</v>
      </c>
      <c r="C9" s="14" t="n">
        <v>2</v>
      </c>
      <c r="D9" s="15" t="s">
        <v>1727</v>
      </c>
      <c r="E9" s="15" t="s">
        <v>1728</v>
      </c>
      <c r="F9" s="14" t="s">
        <v>1724</v>
      </c>
      <c r="G9" s="14" t="s">
        <v>1725</v>
      </c>
      <c r="H9" s="15" t="s">
        <v>1746</v>
      </c>
      <c r="I9" s="19"/>
    </row>
    <row r="10" customFormat="false" ht="15" hidden="false" customHeight="false" outlineLevel="0" collapsed="false">
      <c r="A10" s="14" t="s">
        <v>1741</v>
      </c>
      <c r="B10" s="15" t="s">
        <v>1742</v>
      </c>
      <c r="C10" s="14" t="n">
        <v>3</v>
      </c>
      <c r="D10" s="15" t="s">
        <v>1747</v>
      </c>
      <c r="E10" s="15" t="s">
        <v>1748</v>
      </c>
      <c r="F10" s="14" t="s">
        <v>1724</v>
      </c>
      <c r="G10" s="14" t="s">
        <v>1737</v>
      </c>
      <c r="H10" s="15" t="s">
        <v>1749</v>
      </c>
      <c r="I10" s="19"/>
    </row>
    <row r="11" customFormat="false" ht="15" hidden="false" customHeight="false" outlineLevel="0" collapsed="false">
      <c r="A11" s="14" t="s">
        <v>1741</v>
      </c>
      <c r="B11" s="15" t="s">
        <v>1742</v>
      </c>
      <c r="C11" s="14" t="n">
        <v>4</v>
      </c>
      <c r="D11" s="15" t="s">
        <v>1750</v>
      </c>
      <c r="E11" s="15" t="s">
        <v>1751</v>
      </c>
      <c r="F11" s="14" t="s">
        <v>1724</v>
      </c>
      <c r="G11" s="14" t="s">
        <v>1725</v>
      </c>
      <c r="H11" s="15" t="s">
        <v>1752</v>
      </c>
      <c r="I11" s="19"/>
    </row>
    <row r="12" customFormat="false" ht="23.85" hidden="false" customHeight="false" outlineLevel="0" collapsed="false">
      <c r="A12" s="14" t="s">
        <v>1753</v>
      </c>
      <c r="B12" s="15" t="s">
        <v>1754</v>
      </c>
      <c r="C12" s="14" t="n">
        <v>1</v>
      </c>
      <c r="D12" s="15" t="s">
        <v>1722</v>
      </c>
      <c r="E12" s="15" t="s">
        <v>1681</v>
      </c>
      <c r="F12" s="14" t="s">
        <v>1724</v>
      </c>
      <c r="G12" s="14" t="s">
        <v>1725</v>
      </c>
      <c r="H12" s="15" t="s">
        <v>1755</v>
      </c>
      <c r="I12" s="19"/>
    </row>
    <row r="13" customFormat="false" ht="23.85" hidden="false" customHeight="false" outlineLevel="0" collapsed="false">
      <c r="A13" s="14" t="s">
        <v>1753</v>
      </c>
      <c r="B13" s="15" t="s">
        <v>1754</v>
      </c>
      <c r="C13" s="14" t="n">
        <v>2</v>
      </c>
      <c r="D13" s="15" t="s">
        <v>1756</v>
      </c>
      <c r="E13" s="15" t="s">
        <v>1757</v>
      </c>
      <c r="F13" s="14" t="s">
        <v>1724</v>
      </c>
      <c r="G13" s="14" t="s">
        <v>1725</v>
      </c>
      <c r="H13" s="15" t="s">
        <v>1758</v>
      </c>
      <c r="I13" s="19"/>
    </row>
    <row r="14" customFormat="false" ht="23.85" hidden="false" customHeight="false" outlineLevel="0" collapsed="false">
      <c r="A14" s="14" t="s">
        <v>1753</v>
      </c>
      <c r="B14" s="15" t="s">
        <v>1754</v>
      </c>
      <c r="C14" s="14" t="n">
        <v>3</v>
      </c>
      <c r="D14" s="15" t="s">
        <v>1759</v>
      </c>
      <c r="E14" s="15" t="s">
        <v>1736</v>
      </c>
      <c r="F14" s="14" t="s">
        <v>1724</v>
      </c>
      <c r="G14" s="14" t="s">
        <v>1725</v>
      </c>
      <c r="H14" s="15" t="s">
        <v>1760</v>
      </c>
      <c r="I14" s="19"/>
    </row>
    <row r="15" customFormat="false" ht="23.85" hidden="false" customHeight="false" outlineLevel="0" collapsed="false">
      <c r="A15" s="14" t="s">
        <v>1761</v>
      </c>
      <c r="B15" s="15" t="s">
        <v>1762</v>
      </c>
      <c r="C15" s="14" t="n">
        <v>1</v>
      </c>
      <c r="D15" s="15" t="s">
        <v>1722</v>
      </c>
      <c r="E15" s="15" t="s">
        <v>1763</v>
      </c>
      <c r="F15" s="14" t="s">
        <v>1724</v>
      </c>
      <c r="G15" s="14" t="s">
        <v>1725</v>
      </c>
      <c r="H15" s="15" t="s">
        <v>1764</v>
      </c>
      <c r="I15" s="19"/>
    </row>
    <row r="16" customFormat="false" ht="23.85" hidden="false" customHeight="false" outlineLevel="0" collapsed="false">
      <c r="A16" s="14" t="s">
        <v>1761</v>
      </c>
      <c r="B16" s="15" t="s">
        <v>1762</v>
      </c>
      <c r="C16" s="14" t="n">
        <v>2</v>
      </c>
      <c r="D16" s="15" t="s">
        <v>1765</v>
      </c>
      <c r="E16" s="15" t="s">
        <v>1766</v>
      </c>
      <c r="F16" s="14" t="s">
        <v>1724</v>
      </c>
      <c r="G16" s="14" t="s">
        <v>1725</v>
      </c>
      <c r="H16" s="15" t="s">
        <v>1767</v>
      </c>
      <c r="I16" s="19"/>
    </row>
    <row r="17" customFormat="false" ht="23.85" hidden="false" customHeight="false" outlineLevel="0" collapsed="false">
      <c r="A17" s="14" t="s">
        <v>1761</v>
      </c>
      <c r="B17" s="15" t="s">
        <v>1762</v>
      </c>
      <c r="C17" s="14" t="n">
        <v>3</v>
      </c>
      <c r="D17" s="15" t="s">
        <v>1768</v>
      </c>
      <c r="E17" s="15" t="s">
        <v>1769</v>
      </c>
      <c r="F17" s="14" t="s">
        <v>1724</v>
      </c>
      <c r="G17" s="14" t="s">
        <v>1725</v>
      </c>
      <c r="H17" s="15" t="s">
        <v>1770</v>
      </c>
      <c r="I17" s="19"/>
    </row>
    <row r="18" customFormat="false" ht="15" hidden="false" customHeight="false" outlineLevel="0" collapsed="false">
      <c r="A18" s="14" t="s">
        <v>1771</v>
      </c>
      <c r="B18" s="15" t="s">
        <v>1772</v>
      </c>
      <c r="C18" s="14" t="n">
        <v>1</v>
      </c>
      <c r="D18" s="15" t="s">
        <v>1773</v>
      </c>
      <c r="E18" s="15" t="s">
        <v>1494</v>
      </c>
      <c r="F18" s="14" t="s">
        <v>1724</v>
      </c>
      <c r="G18" s="14" t="s">
        <v>1725</v>
      </c>
      <c r="H18" s="15" t="s">
        <v>1774</v>
      </c>
      <c r="I18" s="19"/>
    </row>
    <row r="19" customFormat="false" ht="15" hidden="false" customHeight="false" outlineLevel="0" collapsed="false">
      <c r="A19" s="14" t="s">
        <v>1771</v>
      </c>
      <c r="B19" s="15" t="s">
        <v>1772</v>
      </c>
      <c r="C19" s="14" t="n">
        <v>2</v>
      </c>
      <c r="D19" s="15" t="s">
        <v>1775</v>
      </c>
      <c r="E19" s="15" t="s">
        <v>1776</v>
      </c>
      <c r="F19" s="14" t="s">
        <v>1724</v>
      </c>
      <c r="G19" s="14" t="s">
        <v>1725</v>
      </c>
      <c r="H19" s="15" t="s">
        <v>1777</v>
      </c>
      <c r="I19" s="19"/>
    </row>
    <row r="20" customFormat="false" ht="15" hidden="false" customHeight="false" outlineLevel="0" collapsed="false">
      <c r="A20" s="14" t="s">
        <v>1771</v>
      </c>
      <c r="B20" s="15" t="s">
        <v>1772</v>
      </c>
      <c r="C20" s="14" t="n">
        <v>3</v>
      </c>
      <c r="D20" s="15" t="s">
        <v>1778</v>
      </c>
      <c r="E20" s="15" t="s">
        <v>1560</v>
      </c>
      <c r="F20" s="14" t="s">
        <v>1724</v>
      </c>
      <c r="G20" s="14" t="s">
        <v>1725</v>
      </c>
      <c r="H20" s="15" t="s">
        <v>1779</v>
      </c>
      <c r="I20" s="19"/>
    </row>
  </sheetData>
  <autoFilter ref="A1:I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50"/>
    <col collapsed="false" customWidth="true" hidden="false" outlineLevel="0" max="4" min="4" style="0" width="36"/>
    <col collapsed="false" customWidth="true" hidden="false" outlineLevel="0" max="5" min="5" style="0" width="18"/>
    <col collapsed="false" customWidth="true" hidden="false" outlineLevel="0" max="6" min="6" style="0" width="50"/>
    <col collapsed="false" customWidth="true" hidden="false" outlineLevel="0" max="7" min="7" style="0" width="7"/>
  </cols>
  <sheetData>
    <row r="1" customFormat="false" ht="30" hidden="false" customHeight="true" outlineLevel="0" collapsed="false">
      <c r="A1" s="12" t="s">
        <v>1780</v>
      </c>
      <c r="B1" s="12" t="s">
        <v>1781</v>
      </c>
      <c r="C1" s="12" t="s">
        <v>1782</v>
      </c>
      <c r="D1" s="12" t="s">
        <v>1783</v>
      </c>
      <c r="E1" s="12" t="s">
        <v>1784</v>
      </c>
      <c r="F1" s="12" t="s">
        <v>77</v>
      </c>
      <c r="G1" s="12" t="s">
        <v>1785</v>
      </c>
    </row>
    <row r="2" customFormat="false" ht="79.85" hidden="false" customHeight="false" outlineLevel="0" collapsed="false">
      <c r="A2" s="15" t="s">
        <v>1786</v>
      </c>
      <c r="B2" s="15" t="s">
        <v>1787</v>
      </c>
      <c r="C2" s="15" t="s">
        <v>1788</v>
      </c>
      <c r="D2" s="15" t="s">
        <v>1789</v>
      </c>
      <c r="E2" s="15" t="s">
        <v>1790</v>
      </c>
      <c r="F2" s="15" t="s">
        <v>1791</v>
      </c>
      <c r="G2" s="14"/>
    </row>
    <row r="3" customFormat="false" ht="102.2" hidden="false" customHeight="false" outlineLevel="0" collapsed="false">
      <c r="A3" s="15" t="s">
        <v>1792</v>
      </c>
      <c r="B3" s="15" t="s">
        <v>1793</v>
      </c>
      <c r="C3" s="15" t="s">
        <v>1794</v>
      </c>
      <c r="D3" s="15" t="s">
        <v>1795</v>
      </c>
      <c r="E3" s="15" t="s">
        <v>1796</v>
      </c>
      <c r="F3" s="15" t="s">
        <v>1797</v>
      </c>
      <c r="G3" s="14"/>
    </row>
    <row r="4" customFormat="false" ht="79.85" hidden="false" customHeight="false" outlineLevel="0" collapsed="false">
      <c r="A4" s="15" t="s">
        <v>1798</v>
      </c>
      <c r="B4" s="15" t="s">
        <v>1799</v>
      </c>
      <c r="C4" s="15" t="s">
        <v>1800</v>
      </c>
      <c r="D4" s="15" t="s">
        <v>1801</v>
      </c>
      <c r="E4" s="15" t="s">
        <v>1802</v>
      </c>
      <c r="F4" s="15" t="s">
        <v>1803</v>
      </c>
      <c r="G4" s="14"/>
    </row>
    <row r="5" customFormat="false" ht="169.4" hidden="false" customHeight="false" outlineLevel="0" collapsed="false">
      <c r="A5" s="15" t="s">
        <v>1804</v>
      </c>
      <c r="B5" s="15" t="s">
        <v>1805</v>
      </c>
      <c r="C5" s="15" t="s">
        <v>1806</v>
      </c>
      <c r="D5" s="15" t="s">
        <v>1807</v>
      </c>
      <c r="E5" s="15" t="s">
        <v>1808</v>
      </c>
      <c r="F5" s="15" t="s">
        <v>1809</v>
      </c>
      <c r="G5" s="14"/>
    </row>
    <row r="6" customFormat="false" ht="102.2" hidden="false" customHeight="false" outlineLevel="0" collapsed="false">
      <c r="A6" s="15" t="s">
        <v>1810</v>
      </c>
      <c r="B6" s="15" t="s">
        <v>1805</v>
      </c>
      <c r="C6" s="15" t="s">
        <v>1806</v>
      </c>
      <c r="D6" s="15" t="s">
        <v>1811</v>
      </c>
      <c r="E6" s="15" t="s">
        <v>1812</v>
      </c>
      <c r="F6" s="15" t="s">
        <v>1813</v>
      </c>
      <c r="G6" s="14"/>
    </row>
    <row r="7" customFormat="false" ht="91" hidden="false" customHeight="false" outlineLevel="0" collapsed="false">
      <c r="A7" s="15" t="s">
        <v>1814</v>
      </c>
      <c r="B7" s="15" t="s">
        <v>1815</v>
      </c>
      <c r="C7" s="15" t="s">
        <v>1806</v>
      </c>
      <c r="D7" s="15" t="s">
        <v>1816</v>
      </c>
      <c r="E7" s="15" t="s">
        <v>1817</v>
      </c>
      <c r="F7" s="15" t="s">
        <v>1818</v>
      </c>
      <c r="G7" s="14"/>
    </row>
    <row r="8" customFormat="false" ht="169.4" hidden="false" customHeight="false" outlineLevel="0" collapsed="false">
      <c r="A8" s="15" t="s">
        <v>1819</v>
      </c>
      <c r="B8" s="15" t="s">
        <v>1820</v>
      </c>
      <c r="C8" s="15" t="s">
        <v>1806</v>
      </c>
      <c r="D8" s="15" t="s">
        <v>1821</v>
      </c>
      <c r="E8" s="15" t="s">
        <v>1822</v>
      </c>
      <c r="F8" s="15" t="s">
        <v>1823</v>
      </c>
      <c r="G8" s="14"/>
    </row>
    <row r="9" customFormat="false" ht="158.2" hidden="false" customHeight="false" outlineLevel="0" collapsed="false">
      <c r="A9" s="15" t="s">
        <v>1824</v>
      </c>
      <c r="B9" s="15" t="s">
        <v>1825</v>
      </c>
      <c r="C9" s="15" t="s">
        <v>1826</v>
      </c>
      <c r="D9" s="15" t="s">
        <v>1827</v>
      </c>
      <c r="E9" s="15" t="s">
        <v>1828</v>
      </c>
      <c r="F9" s="15" t="s">
        <v>1829</v>
      </c>
      <c r="G9" s="14"/>
    </row>
    <row r="10" customFormat="false" ht="113.4" hidden="false" customHeight="false" outlineLevel="0" collapsed="false">
      <c r="A10" s="15" t="s">
        <v>1830</v>
      </c>
      <c r="B10" s="15" t="s">
        <v>1831</v>
      </c>
      <c r="C10" s="15" t="s">
        <v>1832</v>
      </c>
      <c r="D10" s="15" t="s">
        <v>1833</v>
      </c>
      <c r="E10" s="15" t="s">
        <v>1834</v>
      </c>
      <c r="F10" s="15" t="s">
        <v>1835</v>
      </c>
      <c r="G10" s="14"/>
    </row>
    <row r="11" customFormat="false" ht="124.6" hidden="false" customHeight="false" outlineLevel="0" collapsed="false">
      <c r="A11" s="15" t="s">
        <v>1836</v>
      </c>
      <c r="B11" s="15" t="s">
        <v>1837</v>
      </c>
      <c r="C11" s="15" t="s">
        <v>1838</v>
      </c>
      <c r="D11" s="15" t="s">
        <v>1839</v>
      </c>
      <c r="E11" s="15" t="s">
        <v>1840</v>
      </c>
      <c r="F11" s="15" t="s">
        <v>1841</v>
      </c>
      <c r="G11" s="14" t="s">
        <v>1737</v>
      </c>
    </row>
    <row r="12" customFormat="false" ht="135.8" hidden="false" customHeight="false" outlineLevel="0" collapsed="false">
      <c r="A12" s="15" t="s">
        <v>1842</v>
      </c>
      <c r="B12" s="15" t="s">
        <v>1843</v>
      </c>
      <c r="C12" s="15" t="s">
        <v>1844</v>
      </c>
      <c r="D12" s="15" t="s">
        <v>1845</v>
      </c>
      <c r="E12" s="15" t="s">
        <v>1846</v>
      </c>
      <c r="F12" s="15" t="s">
        <v>1847</v>
      </c>
      <c r="G12" s="14"/>
    </row>
    <row r="13" customFormat="false" ht="169.4" hidden="false" customHeight="false" outlineLevel="0" collapsed="false">
      <c r="A13" s="15" t="s">
        <v>1848</v>
      </c>
      <c r="B13" s="15" t="s">
        <v>1849</v>
      </c>
      <c r="C13" s="15" t="s">
        <v>1850</v>
      </c>
      <c r="D13" s="15" t="s">
        <v>1851</v>
      </c>
      <c r="E13" s="15" t="s">
        <v>1852</v>
      </c>
      <c r="F13" s="15" t="s">
        <v>1853</v>
      </c>
      <c r="G13" s="14"/>
    </row>
    <row r="14" customFormat="false" ht="91" hidden="false" customHeight="false" outlineLevel="0" collapsed="false">
      <c r="A14" s="15" t="s">
        <v>1854</v>
      </c>
      <c r="B14" s="15" t="s">
        <v>1855</v>
      </c>
      <c r="C14" s="15" t="s">
        <v>1856</v>
      </c>
      <c r="D14" s="15" t="s">
        <v>1857</v>
      </c>
      <c r="E14" s="15" t="s">
        <v>1858</v>
      </c>
      <c r="F14" s="15" t="s">
        <v>1859</v>
      </c>
      <c r="G14" s="14"/>
    </row>
  </sheetData>
  <autoFilter ref="A1:G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6"/>
    <col collapsed="false" customWidth="true" hidden="false" outlineLevel="0" max="4" min="4" style="0" width="10"/>
    <col collapsed="false" customWidth="true" hidden="false" outlineLevel="0" max="5" min="5" style="0" width="30"/>
    <col collapsed="false" customWidth="true" hidden="false" outlineLevel="0" max="6" min="6" style="0" width="70"/>
    <col collapsed="false" customWidth="true" hidden="false" outlineLevel="0" max="7" min="7" style="0" width="24"/>
    <col collapsed="false" customWidth="true" hidden="false" outlineLevel="0" max="8" min="8" style="0" width="26"/>
  </cols>
  <sheetData>
    <row r="1" customFormat="false" ht="30" hidden="false" customHeight="true" outlineLevel="0" collapsed="false">
      <c r="A1" s="12" t="s">
        <v>63</v>
      </c>
      <c r="B1" s="12" t="s">
        <v>1374</v>
      </c>
      <c r="C1" s="12" t="s">
        <v>30</v>
      </c>
      <c r="D1" s="12" t="s">
        <v>53</v>
      </c>
      <c r="E1" s="12" t="s">
        <v>1860</v>
      </c>
      <c r="F1" s="12" t="s">
        <v>1861</v>
      </c>
      <c r="G1" s="12" t="s">
        <v>1862</v>
      </c>
      <c r="H1" s="12" t="s">
        <v>76</v>
      </c>
    </row>
    <row r="2" customFormat="false" ht="35.05" hidden="false" customHeight="false" outlineLevel="0" collapsed="false">
      <c r="A2" s="14" t="s">
        <v>1863</v>
      </c>
      <c r="B2" s="16" t="n">
        <v>46307</v>
      </c>
      <c r="C2" s="14" t="s">
        <v>1379</v>
      </c>
      <c r="D2" s="14" t="s">
        <v>1864</v>
      </c>
      <c r="E2" s="15" t="s">
        <v>1865</v>
      </c>
      <c r="F2" s="15" t="s">
        <v>1866</v>
      </c>
      <c r="G2" s="15" t="s">
        <v>1867</v>
      </c>
      <c r="H2" s="15" t="s">
        <v>1560</v>
      </c>
    </row>
    <row r="3" customFormat="false" ht="23.85" hidden="false" customHeight="false" outlineLevel="0" collapsed="false">
      <c r="A3" s="14" t="s">
        <v>1868</v>
      </c>
      <c r="B3" s="16" t="n">
        <v>46309</v>
      </c>
      <c r="C3" s="14" t="s">
        <v>1379</v>
      </c>
      <c r="D3" s="14" t="s">
        <v>1864</v>
      </c>
      <c r="E3" s="15" t="s">
        <v>1869</v>
      </c>
      <c r="F3" s="15" t="s">
        <v>1870</v>
      </c>
      <c r="G3" s="15" t="s">
        <v>1871</v>
      </c>
      <c r="H3" s="15" t="s">
        <v>1476</v>
      </c>
    </row>
    <row r="4" customFormat="false" ht="23.85" hidden="false" customHeight="false" outlineLevel="0" collapsed="false">
      <c r="A4" s="14" t="s">
        <v>1872</v>
      </c>
      <c r="B4" s="16" t="n">
        <v>46314</v>
      </c>
      <c r="C4" s="14" t="s">
        <v>1379</v>
      </c>
      <c r="D4" s="14" t="s">
        <v>1115</v>
      </c>
      <c r="E4" s="15" t="s">
        <v>1873</v>
      </c>
      <c r="F4" s="15" t="s">
        <v>1874</v>
      </c>
      <c r="G4" s="15" t="s">
        <v>1875</v>
      </c>
      <c r="H4" s="15" t="s">
        <v>1494</v>
      </c>
    </row>
    <row r="5" customFormat="false" ht="23.85" hidden="false" customHeight="false" outlineLevel="0" collapsed="false">
      <c r="A5" s="14" t="s">
        <v>1876</v>
      </c>
      <c r="B5" s="16" t="n">
        <v>46316</v>
      </c>
      <c r="C5" s="14" t="s">
        <v>1379</v>
      </c>
      <c r="D5" s="14" t="s">
        <v>1877</v>
      </c>
      <c r="E5" s="15" t="s">
        <v>1878</v>
      </c>
      <c r="F5" s="15" t="s">
        <v>1879</v>
      </c>
      <c r="G5" s="15" t="s">
        <v>1880</v>
      </c>
      <c r="H5" s="15" t="s">
        <v>1494</v>
      </c>
    </row>
    <row r="6" customFormat="false" ht="23.85" hidden="false" customHeight="false" outlineLevel="0" collapsed="false">
      <c r="A6" s="14" t="s">
        <v>1881</v>
      </c>
      <c r="B6" s="16" t="n">
        <v>46322</v>
      </c>
      <c r="C6" s="14" t="s">
        <v>1379</v>
      </c>
      <c r="D6" s="14" t="s">
        <v>1877</v>
      </c>
      <c r="E6" s="15" t="s">
        <v>1882</v>
      </c>
      <c r="F6" s="15" t="s">
        <v>1883</v>
      </c>
      <c r="G6" s="15" t="s">
        <v>1884</v>
      </c>
      <c r="H6" s="15" t="s">
        <v>1620</v>
      </c>
    </row>
    <row r="7" customFormat="false" ht="23.85" hidden="false" customHeight="false" outlineLevel="0" collapsed="false">
      <c r="A7" s="14" t="s">
        <v>1885</v>
      </c>
      <c r="B7" s="16" t="n">
        <v>46332</v>
      </c>
      <c r="C7" s="14" t="s">
        <v>1379</v>
      </c>
      <c r="D7" s="14" t="s">
        <v>1864</v>
      </c>
      <c r="E7" s="15" t="s">
        <v>1886</v>
      </c>
      <c r="F7" s="15" t="s">
        <v>1887</v>
      </c>
      <c r="G7" s="15" t="s">
        <v>1888</v>
      </c>
      <c r="H7" s="15" t="s">
        <v>1494</v>
      </c>
    </row>
    <row r="8" customFormat="false" ht="23.85" hidden="false" customHeight="false" outlineLevel="0" collapsed="false">
      <c r="A8" s="14" t="s">
        <v>1889</v>
      </c>
      <c r="B8" s="16" t="n">
        <v>46335</v>
      </c>
      <c r="C8" s="14" t="s">
        <v>1395</v>
      </c>
      <c r="D8" s="14" t="s">
        <v>1864</v>
      </c>
      <c r="E8" s="15" t="s">
        <v>1890</v>
      </c>
      <c r="F8" s="15" t="s">
        <v>1891</v>
      </c>
      <c r="G8" s="15" t="s">
        <v>1892</v>
      </c>
      <c r="H8" s="15" t="s">
        <v>1510</v>
      </c>
    </row>
    <row r="9" customFormat="false" ht="23.85" hidden="false" customHeight="false" outlineLevel="0" collapsed="false">
      <c r="A9" s="14" t="s">
        <v>1893</v>
      </c>
      <c r="B9" s="16" t="n">
        <v>46343</v>
      </c>
      <c r="C9" s="14" t="s">
        <v>1395</v>
      </c>
      <c r="D9" s="14" t="s">
        <v>1115</v>
      </c>
      <c r="E9" s="15" t="s">
        <v>1894</v>
      </c>
      <c r="F9" s="15" t="s">
        <v>1895</v>
      </c>
      <c r="G9" s="15" t="s">
        <v>1896</v>
      </c>
      <c r="H9" s="15" t="s">
        <v>1615</v>
      </c>
    </row>
    <row r="10" customFormat="false" ht="23.85" hidden="false" customHeight="false" outlineLevel="0" collapsed="false">
      <c r="A10" s="14" t="s">
        <v>1897</v>
      </c>
      <c r="B10" s="16" t="n">
        <v>46363</v>
      </c>
      <c r="C10" s="14" t="s">
        <v>1395</v>
      </c>
      <c r="D10" s="14" t="s">
        <v>1898</v>
      </c>
      <c r="E10" s="15" t="s">
        <v>1899</v>
      </c>
      <c r="F10" s="15" t="s">
        <v>1900</v>
      </c>
      <c r="G10" s="15" t="s">
        <v>1901</v>
      </c>
      <c r="H10" s="15" t="s">
        <v>1494</v>
      </c>
    </row>
    <row r="11" customFormat="false" ht="35.05" hidden="false" customHeight="false" outlineLevel="0" collapsed="false">
      <c r="A11" s="14" t="s">
        <v>1902</v>
      </c>
      <c r="B11" s="16" t="n">
        <v>46393</v>
      </c>
      <c r="C11" s="14" t="s">
        <v>1395</v>
      </c>
      <c r="D11" s="14" t="s">
        <v>1115</v>
      </c>
      <c r="E11" s="15" t="s">
        <v>1903</v>
      </c>
      <c r="F11" s="15" t="s">
        <v>1904</v>
      </c>
      <c r="G11" s="15" t="s">
        <v>1905</v>
      </c>
      <c r="H11" s="15" t="s">
        <v>1549</v>
      </c>
    </row>
    <row r="12" customFormat="false" ht="35.05" hidden="false" customHeight="false" outlineLevel="0" collapsed="false">
      <c r="A12" s="14" t="s">
        <v>1906</v>
      </c>
      <c r="B12" s="16" t="n">
        <v>46400</v>
      </c>
      <c r="C12" s="14" t="s">
        <v>1395</v>
      </c>
      <c r="D12" s="14" t="s">
        <v>1115</v>
      </c>
      <c r="E12" s="15" t="s">
        <v>1907</v>
      </c>
      <c r="F12" s="15" t="s">
        <v>1908</v>
      </c>
      <c r="G12" s="15" t="s">
        <v>1909</v>
      </c>
      <c r="H12" s="15" t="s">
        <v>1470</v>
      </c>
    </row>
    <row r="13" customFormat="false" ht="23.85" hidden="false" customHeight="false" outlineLevel="0" collapsed="false">
      <c r="A13" s="14" t="s">
        <v>1910</v>
      </c>
      <c r="B13" s="16" t="n">
        <v>46414</v>
      </c>
      <c r="C13" s="14" t="s">
        <v>1395</v>
      </c>
      <c r="D13" s="14" t="s">
        <v>1864</v>
      </c>
      <c r="E13" s="15" t="s">
        <v>1911</v>
      </c>
      <c r="F13" s="15" t="s">
        <v>1912</v>
      </c>
      <c r="G13" s="15" t="s">
        <v>1913</v>
      </c>
      <c r="H13" s="15" t="s">
        <v>1476</v>
      </c>
    </row>
    <row r="14" customFormat="false" ht="23.85" hidden="false" customHeight="false" outlineLevel="0" collapsed="false">
      <c r="A14" s="14" t="s">
        <v>1914</v>
      </c>
      <c r="B14" s="16" t="n">
        <v>46419</v>
      </c>
      <c r="C14" s="14" t="s">
        <v>1395</v>
      </c>
      <c r="D14" s="14" t="s">
        <v>1877</v>
      </c>
      <c r="E14" s="15" t="s">
        <v>1915</v>
      </c>
      <c r="F14" s="15" t="s">
        <v>1916</v>
      </c>
      <c r="G14" s="15" t="s">
        <v>1917</v>
      </c>
      <c r="H14" s="15" t="s">
        <v>1476</v>
      </c>
    </row>
    <row r="15" customFormat="false" ht="23.85" hidden="false" customHeight="false" outlineLevel="0" collapsed="false">
      <c r="A15" s="14" t="s">
        <v>1918</v>
      </c>
      <c r="B15" s="16" t="n">
        <v>46421</v>
      </c>
      <c r="C15" s="14" t="s">
        <v>1395</v>
      </c>
      <c r="D15" s="14" t="s">
        <v>1864</v>
      </c>
      <c r="E15" s="15" t="s">
        <v>1919</v>
      </c>
      <c r="F15" s="15" t="s">
        <v>1920</v>
      </c>
      <c r="G15" s="15" t="s">
        <v>1921</v>
      </c>
      <c r="H15" s="15" t="s">
        <v>1549</v>
      </c>
    </row>
    <row r="16" customFormat="false" ht="35.05" hidden="false" customHeight="false" outlineLevel="0" collapsed="false">
      <c r="A16" s="14" t="s">
        <v>1922</v>
      </c>
      <c r="B16" s="16" t="n">
        <v>46429</v>
      </c>
      <c r="C16" s="14" t="s">
        <v>1395</v>
      </c>
      <c r="D16" s="14" t="s">
        <v>1864</v>
      </c>
      <c r="E16" s="15" t="s">
        <v>1923</v>
      </c>
      <c r="F16" s="15" t="s">
        <v>1924</v>
      </c>
      <c r="G16" s="15" t="s">
        <v>1925</v>
      </c>
      <c r="H16" s="15" t="s">
        <v>1567</v>
      </c>
    </row>
    <row r="17" customFormat="false" ht="35.05" hidden="false" customHeight="false" outlineLevel="0" collapsed="false">
      <c r="A17" s="14" t="s">
        <v>1926</v>
      </c>
      <c r="B17" s="16" t="n">
        <v>46430</v>
      </c>
      <c r="C17" s="14" t="s">
        <v>1395</v>
      </c>
      <c r="D17" s="14" t="s">
        <v>1864</v>
      </c>
      <c r="E17" s="15" t="s">
        <v>1927</v>
      </c>
      <c r="F17" s="15" t="s">
        <v>1928</v>
      </c>
      <c r="G17" s="15" t="s">
        <v>1929</v>
      </c>
      <c r="H17" s="15" t="s">
        <v>1476</v>
      </c>
    </row>
    <row r="18" customFormat="false" ht="23.85" hidden="false" customHeight="false" outlineLevel="0" collapsed="false">
      <c r="A18" s="14" t="s">
        <v>1930</v>
      </c>
      <c r="B18" s="16" t="n">
        <v>46430</v>
      </c>
      <c r="C18" s="14" t="s">
        <v>1395</v>
      </c>
      <c r="D18" s="14" t="s">
        <v>1931</v>
      </c>
      <c r="E18" s="15" t="s">
        <v>1932</v>
      </c>
      <c r="F18" s="15" t="s">
        <v>1933</v>
      </c>
      <c r="G18" s="15" t="s">
        <v>1934</v>
      </c>
      <c r="H18" s="15" t="s">
        <v>1560</v>
      </c>
    </row>
    <row r="19" customFormat="false" ht="15" hidden="false" customHeight="false" outlineLevel="0" collapsed="false">
      <c r="A19" s="14" t="s">
        <v>1935</v>
      </c>
      <c r="B19" s="16" t="n">
        <v>46434</v>
      </c>
      <c r="C19" s="14" t="s">
        <v>1408</v>
      </c>
      <c r="D19" s="14" t="s">
        <v>1864</v>
      </c>
      <c r="E19" s="15" t="s">
        <v>1936</v>
      </c>
      <c r="F19" s="15" t="s">
        <v>1937</v>
      </c>
      <c r="G19" s="15" t="s">
        <v>1892</v>
      </c>
      <c r="H19" s="15" t="s">
        <v>1510</v>
      </c>
    </row>
    <row r="20" customFormat="false" ht="35.05" hidden="false" customHeight="false" outlineLevel="0" collapsed="false">
      <c r="A20" s="14" t="s">
        <v>1938</v>
      </c>
      <c r="B20" s="16" t="n">
        <v>46442</v>
      </c>
      <c r="C20" s="14" t="s">
        <v>1408</v>
      </c>
      <c r="D20" s="14" t="s">
        <v>1864</v>
      </c>
      <c r="E20" s="15" t="s">
        <v>1939</v>
      </c>
      <c r="F20" s="15" t="s">
        <v>1940</v>
      </c>
      <c r="G20" s="15" t="s">
        <v>1941</v>
      </c>
      <c r="H20" s="15" t="s">
        <v>1942</v>
      </c>
    </row>
    <row r="21" customFormat="false" ht="35.05" hidden="false" customHeight="false" outlineLevel="0" collapsed="false">
      <c r="A21" s="14" t="s">
        <v>1943</v>
      </c>
      <c r="B21" s="16" t="n">
        <v>46449</v>
      </c>
      <c r="C21" s="14" t="s">
        <v>1408</v>
      </c>
      <c r="D21" s="14" t="s">
        <v>1864</v>
      </c>
      <c r="E21" s="15" t="s">
        <v>1944</v>
      </c>
      <c r="F21" s="15" t="s">
        <v>1945</v>
      </c>
      <c r="G21" s="15" t="s">
        <v>1946</v>
      </c>
      <c r="H21" s="15" t="s">
        <v>1947</v>
      </c>
    </row>
    <row r="22" customFormat="false" ht="35.05" hidden="false" customHeight="false" outlineLevel="0" collapsed="false">
      <c r="A22" s="14" t="s">
        <v>1948</v>
      </c>
      <c r="B22" s="16" t="n">
        <v>46461</v>
      </c>
      <c r="C22" s="14" t="s">
        <v>1408</v>
      </c>
      <c r="D22" s="14" t="s">
        <v>1864</v>
      </c>
      <c r="E22" s="15" t="s">
        <v>1919</v>
      </c>
      <c r="F22" s="15" t="s">
        <v>1949</v>
      </c>
      <c r="G22" s="15" t="s">
        <v>1950</v>
      </c>
      <c r="H22" s="15" t="s">
        <v>1549</v>
      </c>
    </row>
    <row r="23" customFormat="false" ht="23.85" hidden="false" customHeight="false" outlineLevel="0" collapsed="false">
      <c r="A23" s="14" t="s">
        <v>1951</v>
      </c>
      <c r="B23" s="16" t="n">
        <v>46468</v>
      </c>
      <c r="C23" s="14" t="s">
        <v>1408</v>
      </c>
      <c r="D23" s="14" t="s">
        <v>1898</v>
      </c>
      <c r="E23" s="15" t="s">
        <v>1952</v>
      </c>
      <c r="F23" s="15" t="s">
        <v>1953</v>
      </c>
      <c r="G23" s="15" t="s">
        <v>1901</v>
      </c>
      <c r="H23" s="15" t="s">
        <v>1494</v>
      </c>
    </row>
    <row r="24" customFormat="false" ht="35.05" hidden="false" customHeight="false" outlineLevel="0" collapsed="false">
      <c r="A24" s="14" t="s">
        <v>1954</v>
      </c>
      <c r="B24" s="16" t="n">
        <v>46496</v>
      </c>
      <c r="C24" s="14" t="s">
        <v>1408</v>
      </c>
      <c r="D24" s="14" t="s">
        <v>1864</v>
      </c>
      <c r="E24" s="15" t="s">
        <v>1955</v>
      </c>
      <c r="F24" s="15" t="s">
        <v>1956</v>
      </c>
      <c r="G24" s="15" t="s">
        <v>1957</v>
      </c>
      <c r="H24" s="15" t="s">
        <v>1615</v>
      </c>
    </row>
    <row r="25" customFormat="false" ht="23.85" hidden="false" customHeight="false" outlineLevel="0" collapsed="false">
      <c r="A25" s="14" t="s">
        <v>1958</v>
      </c>
      <c r="B25" s="16" t="n">
        <v>46510</v>
      </c>
      <c r="C25" s="14" t="s">
        <v>1408</v>
      </c>
      <c r="D25" s="14" t="s">
        <v>1877</v>
      </c>
      <c r="E25" s="15" t="s">
        <v>1915</v>
      </c>
      <c r="F25" s="15" t="s">
        <v>1959</v>
      </c>
      <c r="G25" s="15" t="s">
        <v>1917</v>
      </c>
      <c r="H25" s="15" t="s">
        <v>1476</v>
      </c>
    </row>
    <row r="26" customFormat="false" ht="23.85" hidden="false" customHeight="false" outlineLevel="0" collapsed="false">
      <c r="A26" s="14" t="s">
        <v>1960</v>
      </c>
      <c r="B26" s="16" t="n">
        <v>46521</v>
      </c>
      <c r="C26" s="14" t="s">
        <v>1408</v>
      </c>
      <c r="D26" s="14" t="s">
        <v>1864</v>
      </c>
      <c r="E26" s="15" t="s">
        <v>1911</v>
      </c>
      <c r="F26" s="15" t="s">
        <v>1961</v>
      </c>
      <c r="G26" s="15" t="s">
        <v>1929</v>
      </c>
      <c r="H26" s="15" t="s">
        <v>1476</v>
      </c>
    </row>
    <row r="27" customFormat="false" ht="23.85" hidden="false" customHeight="false" outlineLevel="0" collapsed="false">
      <c r="A27" s="14" t="s">
        <v>1962</v>
      </c>
      <c r="B27" s="16" t="n">
        <v>46524</v>
      </c>
      <c r="C27" s="14" t="s">
        <v>1418</v>
      </c>
      <c r="D27" s="14" t="s">
        <v>1864</v>
      </c>
      <c r="E27" s="15" t="s">
        <v>1963</v>
      </c>
      <c r="F27" s="15" t="s">
        <v>1964</v>
      </c>
      <c r="G27" s="15" t="s">
        <v>1892</v>
      </c>
      <c r="H27" s="15" t="s">
        <v>1510</v>
      </c>
    </row>
    <row r="28" customFormat="false" ht="23.85" hidden="false" customHeight="false" outlineLevel="0" collapsed="false">
      <c r="A28" s="14" t="s">
        <v>1965</v>
      </c>
      <c r="B28" s="16" t="n">
        <v>46566</v>
      </c>
      <c r="C28" s="14" t="s">
        <v>1418</v>
      </c>
      <c r="D28" s="14" t="s">
        <v>1898</v>
      </c>
      <c r="E28" s="15" t="s">
        <v>1966</v>
      </c>
      <c r="F28" s="15" t="s">
        <v>1967</v>
      </c>
      <c r="G28" s="15" t="s">
        <v>1901</v>
      </c>
      <c r="H28" s="15" t="s">
        <v>1494</v>
      </c>
    </row>
    <row r="29" customFormat="false" ht="23.85" hidden="false" customHeight="false" outlineLevel="0" collapsed="false">
      <c r="A29" s="14" t="s">
        <v>1968</v>
      </c>
      <c r="B29" s="16" t="n">
        <v>46601</v>
      </c>
      <c r="C29" s="14" t="s">
        <v>1418</v>
      </c>
      <c r="D29" s="14" t="s">
        <v>1877</v>
      </c>
      <c r="E29" s="15" t="s">
        <v>1915</v>
      </c>
      <c r="F29" s="15" t="s">
        <v>1969</v>
      </c>
      <c r="G29" s="15" t="s">
        <v>1917</v>
      </c>
      <c r="H29" s="15" t="s">
        <v>1476</v>
      </c>
    </row>
    <row r="30" customFormat="false" ht="35.05" hidden="false" customHeight="false" outlineLevel="0" collapsed="false">
      <c r="A30" s="14" t="s">
        <v>1970</v>
      </c>
      <c r="B30" s="16" t="n">
        <v>46612</v>
      </c>
      <c r="C30" s="14" t="s">
        <v>1418</v>
      </c>
      <c r="D30" s="14" t="s">
        <v>1931</v>
      </c>
      <c r="E30" s="15" t="s">
        <v>1971</v>
      </c>
      <c r="F30" s="15" t="s">
        <v>1972</v>
      </c>
      <c r="G30" s="15" t="s">
        <v>1973</v>
      </c>
      <c r="H30" s="15" t="s">
        <v>1560</v>
      </c>
    </row>
    <row r="31" customFormat="false" ht="23.85" hidden="false" customHeight="false" outlineLevel="0" collapsed="false">
      <c r="A31" s="14" t="s">
        <v>1974</v>
      </c>
      <c r="B31" s="16" t="n">
        <v>46615</v>
      </c>
      <c r="C31" s="14" t="s">
        <v>1428</v>
      </c>
      <c r="D31" s="14" t="s">
        <v>1864</v>
      </c>
      <c r="E31" s="15" t="s">
        <v>1975</v>
      </c>
      <c r="F31" s="15" t="s">
        <v>1976</v>
      </c>
      <c r="G31" s="15" t="s">
        <v>1977</v>
      </c>
      <c r="H31" s="15" t="s">
        <v>1494</v>
      </c>
    </row>
    <row r="32" customFormat="false" ht="23.85" hidden="false" customHeight="false" outlineLevel="0" collapsed="false">
      <c r="A32" s="14" t="s">
        <v>1978</v>
      </c>
      <c r="B32" s="16" t="n">
        <v>46640</v>
      </c>
      <c r="C32" s="14" t="s">
        <v>1428</v>
      </c>
      <c r="D32" s="14" t="s">
        <v>1864</v>
      </c>
      <c r="E32" s="15" t="s">
        <v>1979</v>
      </c>
      <c r="F32" s="15" t="s">
        <v>1980</v>
      </c>
      <c r="G32" s="15" t="s">
        <v>1981</v>
      </c>
      <c r="H32" s="15" t="s">
        <v>1527</v>
      </c>
    </row>
    <row r="33" customFormat="false" ht="23.85" hidden="false" customHeight="false" outlineLevel="0" collapsed="false">
      <c r="A33" s="14" t="s">
        <v>1982</v>
      </c>
      <c r="B33" s="16" t="n">
        <v>46647</v>
      </c>
      <c r="C33" s="14" t="s">
        <v>1428</v>
      </c>
      <c r="D33" s="14" t="s">
        <v>1898</v>
      </c>
      <c r="E33" s="15" t="s">
        <v>1983</v>
      </c>
      <c r="F33" s="15" t="s">
        <v>1984</v>
      </c>
      <c r="G33" s="15" t="s">
        <v>1985</v>
      </c>
      <c r="H33" s="15" t="s">
        <v>1527</v>
      </c>
    </row>
    <row r="34" customFormat="false" ht="23.85" hidden="false" customHeight="false" outlineLevel="0" collapsed="false">
      <c r="A34" s="14" t="s">
        <v>1986</v>
      </c>
      <c r="B34" s="16" t="n">
        <v>46661</v>
      </c>
      <c r="C34" s="14" t="s">
        <v>1428</v>
      </c>
      <c r="D34" s="14" t="s">
        <v>1115</v>
      </c>
      <c r="E34" s="15" t="s">
        <v>1987</v>
      </c>
      <c r="F34" s="15" t="s">
        <v>1988</v>
      </c>
      <c r="G34" s="15" t="s">
        <v>1989</v>
      </c>
      <c r="H34" s="15" t="s">
        <v>1494</v>
      </c>
    </row>
    <row r="35" customFormat="false" ht="23.85" hidden="false" customHeight="false" outlineLevel="0" collapsed="false">
      <c r="A35" s="14" t="s">
        <v>1990</v>
      </c>
      <c r="B35" s="16" t="n">
        <v>46668</v>
      </c>
      <c r="C35" s="14" t="s">
        <v>1428</v>
      </c>
      <c r="D35" s="14" t="s">
        <v>1931</v>
      </c>
      <c r="E35" s="15" t="s">
        <v>1991</v>
      </c>
      <c r="F35" s="15" t="s">
        <v>1992</v>
      </c>
      <c r="G35" s="15" t="s">
        <v>1993</v>
      </c>
      <c r="H35" s="15" t="s">
        <v>1560</v>
      </c>
    </row>
  </sheetData>
  <autoFilter ref="A1:H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34"/>
    <col collapsed="false" customWidth="true" hidden="false" outlineLevel="0" max="4" min="4" style="0" width="26"/>
    <col collapsed="false" customWidth="true" hidden="false" outlineLevel="0" max="5" min="5" style="0" width="12"/>
    <col collapsed="false" customWidth="true" hidden="false" outlineLevel="0" max="6" min="6" style="0" width="70"/>
    <col collapsed="false" customWidth="true" hidden="false" outlineLevel="0" max="7" min="7" style="0" width="7"/>
  </cols>
  <sheetData>
    <row r="1" customFormat="false" ht="30" hidden="false" customHeight="true" outlineLevel="0" collapsed="false">
      <c r="A1" s="12" t="s">
        <v>63</v>
      </c>
      <c r="B1" s="12" t="s">
        <v>1994</v>
      </c>
      <c r="C1" s="12" t="s">
        <v>1860</v>
      </c>
      <c r="D1" s="12" t="s">
        <v>1995</v>
      </c>
      <c r="E1" s="12" t="s">
        <v>1996</v>
      </c>
      <c r="F1" s="12" t="s">
        <v>1997</v>
      </c>
      <c r="G1" s="12" t="s">
        <v>1998</v>
      </c>
    </row>
    <row r="2" customFormat="false" ht="35.05" hidden="false" customHeight="false" outlineLevel="0" collapsed="false">
      <c r="A2" s="14" t="s">
        <v>1999</v>
      </c>
      <c r="B2" s="15" t="s">
        <v>2000</v>
      </c>
      <c r="C2" s="15" t="s">
        <v>2001</v>
      </c>
      <c r="D2" s="15" t="s">
        <v>2002</v>
      </c>
      <c r="E2" s="14" t="s">
        <v>2003</v>
      </c>
      <c r="F2" s="15" t="s">
        <v>2004</v>
      </c>
      <c r="G2" s="14" t="s">
        <v>2005</v>
      </c>
    </row>
    <row r="3" customFormat="false" ht="35.05" hidden="false" customHeight="false" outlineLevel="0" collapsed="false">
      <c r="A3" s="14" t="s">
        <v>2006</v>
      </c>
      <c r="B3" s="15" t="s">
        <v>2007</v>
      </c>
      <c r="C3" s="15" t="s">
        <v>2008</v>
      </c>
      <c r="D3" s="15" t="s">
        <v>2009</v>
      </c>
      <c r="E3" s="14" t="s">
        <v>2010</v>
      </c>
      <c r="F3" s="15" t="s">
        <v>2011</v>
      </c>
      <c r="G3" s="14" t="s">
        <v>2012</v>
      </c>
    </row>
    <row r="4" customFormat="false" ht="35.05" hidden="false" customHeight="false" outlineLevel="0" collapsed="false">
      <c r="A4" s="14" t="s">
        <v>2013</v>
      </c>
      <c r="B4" s="15" t="s">
        <v>2014</v>
      </c>
      <c r="C4" s="15" t="s">
        <v>2015</v>
      </c>
      <c r="D4" s="15" t="s">
        <v>2016</v>
      </c>
      <c r="E4" s="14" t="s">
        <v>2017</v>
      </c>
      <c r="F4" s="15" t="s">
        <v>2018</v>
      </c>
      <c r="G4" s="14" t="s">
        <v>2019</v>
      </c>
    </row>
    <row r="5" customFormat="false" ht="35.05" hidden="false" customHeight="false" outlineLevel="0" collapsed="false">
      <c r="A5" s="14" t="s">
        <v>2020</v>
      </c>
      <c r="B5" s="15" t="s">
        <v>2021</v>
      </c>
      <c r="C5" s="15" t="s">
        <v>2022</v>
      </c>
      <c r="D5" s="15" t="s">
        <v>2023</v>
      </c>
      <c r="E5" s="14" t="s">
        <v>2017</v>
      </c>
      <c r="F5" s="15" t="s">
        <v>2024</v>
      </c>
      <c r="G5" s="14"/>
    </row>
    <row r="6" customFormat="false" ht="46.25" hidden="false" customHeight="false" outlineLevel="0" collapsed="false">
      <c r="A6" s="14" t="s">
        <v>2025</v>
      </c>
      <c r="B6" s="15" t="s">
        <v>2026</v>
      </c>
      <c r="C6" s="15" t="s">
        <v>2027</v>
      </c>
      <c r="D6" s="15" t="s">
        <v>2028</v>
      </c>
      <c r="E6" s="14" t="s">
        <v>2029</v>
      </c>
      <c r="F6" s="15" t="s">
        <v>2030</v>
      </c>
      <c r="G6" s="14" t="s">
        <v>2031</v>
      </c>
    </row>
    <row r="7" customFormat="false" ht="35.05" hidden="false" customHeight="false" outlineLevel="0" collapsed="false">
      <c r="A7" s="14" t="s">
        <v>2032</v>
      </c>
      <c r="B7" s="15" t="s">
        <v>2033</v>
      </c>
      <c r="C7" s="15" t="s">
        <v>2034</v>
      </c>
      <c r="D7" s="15" t="s">
        <v>2035</v>
      </c>
      <c r="E7" s="14" t="s">
        <v>2036</v>
      </c>
      <c r="F7" s="15" t="s">
        <v>2037</v>
      </c>
      <c r="G7" s="14" t="s">
        <v>2038</v>
      </c>
    </row>
    <row r="8" customFormat="false" ht="46.25" hidden="false" customHeight="false" outlineLevel="0" collapsed="false">
      <c r="A8" s="14" t="s">
        <v>2039</v>
      </c>
      <c r="B8" s="15" t="s">
        <v>2040</v>
      </c>
      <c r="C8" s="15" t="s">
        <v>2041</v>
      </c>
      <c r="D8" s="15" t="s">
        <v>2042</v>
      </c>
      <c r="E8" s="14" t="s">
        <v>2010</v>
      </c>
      <c r="F8" s="15" t="s">
        <v>2043</v>
      </c>
      <c r="G8" s="14" t="s">
        <v>2031</v>
      </c>
    </row>
    <row r="9" customFormat="false" ht="35.05" hidden="false" customHeight="false" outlineLevel="0" collapsed="false">
      <c r="A9" s="14" t="s">
        <v>2044</v>
      </c>
      <c r="B9" s="15" t="s">
        <v>2045</v>
      </c>
      <c r="C9" s="15" t="s">
        <v>2046</v>
      </c>
      <c r="D9" s="15" t="s">
        <v>2047</v>
      </c>
      <c r="E9" s="14" t="s">
        <v>2048</v>
      </c>
      <c r="F9" s="15" t="s">
        <v>2049</v>
      </c>
      <c r="G9" s="14"/>
    </row>
    <row r="10" customFormat="false" ht="35.05" hidden="false" customHeight="false" outlineLevel="0" collapsed="false">
      <c r="A10" s="14" t="s">
        <v>2050</v>
      </c>
      <c r="B10" s="15" t="s">
        <v>2051</v>
      </c>
      <c r="C10" s="15" t="s">
        <v>1915</v>
      </c>
      <c r="D10" s="15" t="s">
        <v>2052</v>
      </c>
      <c r="E10" s="14" t="s">
        <v>2053</v>
      </c>
      <c r="F10" s="15" t="s">
        <v>2054</v>
      </c>
      <c r="G10" s="14" t="s">
        <v>2005</v>
      </c>
    </row>
    <row r="11" customFormat="false" ht="35.05" hidden="false" customHeight="false" outlineLevel="0" collapsed="false">
      <c r="A11" s="14" t="s">
        <v>2055</v>
      </c>
      <c r="B11" s="15" t="s">
        <v>2056</v>
      </c>
      <c r="C11" s="15" t="s">
        <v>1911</v>
      </c>
      <c r="D11" s="15" t="s">
        <v>2057</v>
      </c>
      <c r="E11" s="14" t="s">
        <v>2058</v>
      </c>
      <c r="F11" s="15" t="s">
        <v>2059</v>
      </c>
      <c r="G11" s="14" t="s">
        <v>2005</v>
      </c>
    </row>
    <row r="12" customFormat="false" ht="35.05" hidden="false" customHeight="false" outlineLevel="0" collapsed="false">
      <c r="A12" s="14" t="s">
        <v>2060</v>
      </c>
      <c r="B12" s="15" t="s">
        <v>2061</v>
      </c>
      <c r="C12" s="15" t="s">
        <v>2062</v>
      </c>
      <c r="D12" s="15" t="s">
        <v>2063</v>
      </c>
      <c r="E12" s="14" t="s">
        <v>2010</v>
      </c>
      <c r="F12" s="15" t="s">
        <v>2064</v>
      </c>
      <c r="G12" s="14"/>
    </row>
  </sheetData>
  <autoFilter ref="A1:G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2026-10-01T07:11:47Z</dcterms:created>
  <dc:creator>openpyxl</dc:creator>
  <dc:description/>
  <dc:language>en-US</dc:language>
  <cp:lastModifiedBy/>
  <dcterms:modified xsi:type="dcterms:W3CDTF">2026-10-01T07:11:47Z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